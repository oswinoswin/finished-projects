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aura\Studia\Geo\Cw10\cw10R\"/>
    </mc:Choice>
  </mc:AlternateContent>
  <xr:revisionPtr revIDLastSave="0" documentId="13_ncr:1_{EC4C577A-B7B2-4735-BFE1-F538FF111E0A}" xr6:coauthVersionLast="47" xr6:coauthVersionMax="47" xr10:uidLastSave="{00000000-0000-0000-0000-000000000000}"/>
  <bookViews>
    <workbookView xWindow="-120" yWindow="-120" windowWidth="29040" windowHeight="15720" xr2:uid="{7AF232AF-EF7E-4637-9F7B-FF151FDA296C}"/>
  </bookViews>
  <sheets>
    <sheet name="2024_bdl" sheetId="1" r:id="rId1"/>
    <sheet name="Arkusz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 a="1"/>
  <c r="O2" i="1" s="1"/>
  <c r="N2" i="1" a="1"/>
  <c r="N2" i="1" s="1"/>
  <c r="M2" i="1" a="1"/>
  <c r="M2" i="1" s="1"/>
  <c r="L2" i="1" a="1"/>
  <c r="L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<sst xmlns="http://schemas.openxmlformats.org/spreadsheetml/2006/main" count="1921" uniqueCount="431">
  <si>
    <t>nazwa stacji</t>
  </si>
  <si>
    <t>długość geograficzna</t>
  </si>
  <si>
    <t>szerokośc geograficzna</t>
  </si>
  <si>
    <t>linie kolejowe</t>
  </si>
  <si>
    <t>województwo</t>
  </si>
  <si>
    <t>obszar badań</t>
  </si>
  <si>
    <t>powiat</t>
  </si>
  <si>
    <t>gmina</t>
  </si>
  <si>
    <t>dzienna wymiana pasażerska
[liczba osób]</t>
  </si>
  <si>
    <t>średnia dobowa liczba zatrzymań</t>
  </si>
  <si>
    <t xml:space="preserve">średnia liczba pasażerów na 1 zatrzymanie (zaokrąglenie do zwielokrotnienia liczby 5) </t>
  </si>
  <si>
    <t>Ustrzyki Dolne</t>
  </si>
  <si>
    <t>108</t>
  </si>
  <si>
    <t>Podkarpackie</t>
  </si>
  <si>
    <t>Bieszczady</t>
  </si>
  <si>
    <t>powiat bieszczadzki</t>
  </si>
  <si>
    <t>od 2 do 5</t>
  </si>
  <si>
    <t>Ustianowa</t>
  </si>
  <si>
    <t>od 0 do 2</t>
  </si>
  <si>
    <t>Uherce</t>
  </si>
  <si>
    <t>powiat leski</t>
  </si>
  <si>
    <t>Olszanica</t>
  </si>
  <si>
    <t>Lesko Łukawica</t>
  </si>
  <si>
    <t>Lesko</t>
  </si>
  <si>
    <t>Jankowce</t>
  </si>
  <si>
    <t>Uherce Tunel</t>
  </si>
  <si>
    <t>Sanok</t>
  </si>
  <si>
    <t>powiat sanocki</t>
  </si>
  <si>
    <t>od 10 do 15</t>
  </si>
  <si>
    <t>Zagórz</t>
  </si>
  <si>
    <t>107, 617</t>
  </si>
  <si>
    <t>od 5 do 10</t>
  </si>
  <si>
    <t>Zarszyn</t>
  </si>
  <si>
    <t>Nowy Zagórz</t>
  </si>
  <si>
    <t>107, 108</t>
  </si>
  <si>
    <t>Załuż</t>
  </si>
  <si>
    <t>Besko</t>
  </si>
  <si>
    <t>Sanok Miasto</t>
  </si>
  <si>
    <t>Długie</t>
  </si>
  <si>
    <t>Nowosielce</t>
  </si>
  <si>
    <t>Sanok Dąbrówka</t>
  </si>
  <si>
    <t>Komańcza</t>
  </si>
  <si>
    <t>107</t>
  </si>
  <si>
    <t>Łupków</t>
  </si>
  <si>
    <t>od 15 do 20</t>
  </si>
  <si>
    <t>Nowy Łupków</t>
  </si>
  <si>
    <t>Szczawne Kulaszne</t>
  </si>
  <si>
    <t>Komańcza Letnisko</t>
  </si>
  <si>
    <t>Rzepedź</t>
  </si>
  <si>
    <t>Czaszyn</t>
  </si>
  <si>
    <t>Mokre Małopolskie</t>
  </si>
  <si>
    <t>Morochów</t>
  </si>
  <si>
    <t>Tarnawa Dolna</t>
  </si>
  <si>
    <t>Wysoczany</t>
  </si>
  <si>
    <t>Chojnice</t>
  </si>
  <si>
    <t>203, 208, 210, 211, 281</t>
  </si>
  <si>
    <t>Pomorskie</t>
  </si>
  <si>
    <t>powiat chojnicki</t>
  </si>
  <si>
    <t>Czersk</t>
  </si>
  <si>
    <t>203, 215</t>
  </si>
  <si>
    <t>od 20 do 40</t>
  </si>
  <si>
    <t>Łąg</t>
  </si>
  <si>
    <t>203</t>
  </si>
  <si>
    <t>Rytel Wieś</t>
  </si>
  <si>
    <t>Gutowiec</t>
  </si>
  <si>
    <t>Brusy</t>
  </si>
  <si>
    <t>211</t>
  </si>
  <si>
    <t>Rytel</t>
  </si>
  <si>
    <t>Krojanty</t>
  </si>
  <si>
    <t>Silno</t>
  </si>
  <si>
    <t>208</t>
  </si>
  <si>
    <t>Lubnia</t>
  </si>
  <si>
    <t>Będźmierowice</t>
  </si>
  <si>
    <t>215</t>
  </si>
  <si>
    <t>Racławki</t>
  </si>
  <si>
    <t>Moszczenica Pomorska</t>
  </si>
  <si>
    <t>Męcikał</t>
  </si>
  <si>
    <t>Powałki</t>
  </si>
  <si>
    <t>Żabno koło Chojnic</t>
  </si>
  <si>
    <t>Człuchów</t>
  </si>
  <si>
    <t>210, 413</t>
  </si>
  <si>
    <t>powiat człuchowski</t>
  </si>
  <si>
    <t>Czarne</t>
  </si>
  <si>
    <t>210</t>
  </si>
  <si>
    <t>Domisław</t>
  </si>
  <si>
    <t>Wierzchowo Człuchowskie</t>
  </si>
  <si>
    <t>Bińcze</t>
  </si>
  <si>
    <t>Biskupnica</t>
  </si>
  <si>
    <t>Brzeźno Człuchowskie</t>
  </si>
  <si>
    <t>Bukowo Człuchowskie</t>
  </si>
  <si>
    <t>Gdańsk Główny</t>
  </si>
  <si>
    <t>009, 202, 227, 249</t>
  </si>
  <si>
    <t>Gdańsk</t>
  </si>
  <si>
    <t>powiat Gdańsk</t>
  </si>
  <si>
    <t>Gdańsk Wrzeszcz</t>
  </si>
  <si>
    <t>202, 248</t>
  </si>
  <si>
    <t>Gdańsk Oliwa  ( w tym SKM)</t>
  </si>
  <si>
    <t>202</t>
  </si>
  <si>
    <t>Gdańsk Przymorze Uniwersytet</t>
  </si>
  <si>
    <t>Gdańsk Śródmieście</t>
  </si>
  <si>
    <t>Gdańsk Politechnika</t>
  </si>
  <si>
    <t>Gdańsk Żabianka-AWFiS</t>
  </si>
  <si>
    <t>Gdańsk Zaspa</t>
  </si>
  <si>
    <t>Gdańsk Port Lotniczy</t>
  </si>
  <si>
    <t>Gdańsk Stocznia</t>
  </si>
  <si>
    <t>249</t>
  </si>
  <si>
    <t>Gdańsk Jasień</t>
  </si>
  <si>
    <t>Gdańsk Strzyża</t>
  </si>
  <si>
    <t>Gdańsk Kiełpinek</t>
  </si>
  <si>
    <t>Gdańsk Orunia</t>
  </si>
  <si>
    <t>009</t>
  </si>
  <si>
    <t>Gdańsk Osowa</t>
  </si>
  <si>
    <t>201, 235, 248</t>
  </si>
  <si>
    <t>Gdańsk Rębiechowo</t>
  </si>
  <si>
    <t>Gdańsk Brętowo</t>
  </si>
  <si>
    <t>Gdańsk Matarnia</t>
  </si>
  <si>
    <t>Gdańsk Niedźwiednik</t>
  </si>
  <si>
    <t>Gdańsk Firoga</t>
  </si>
  <si>
    <t>248</t>
  </si>
  <si>
    <t>Gdańsk Stadion Expo</t>
  </si>
  <si>
    <t>powyżej 60</t>
  </si>
  <si>
    <t>Gdańsk Lipce</t>
  </si>
  <si>
    <t>Gdańsk Kokoszki</t>
  </si>
  <si>
    <t>234</t>
  </si>
  <si>
    <t>pomorskie</t>
  </si>
  <si>
    <t>Pruszcz Gdański</t>
  </si>
  <si>
    <t>009, 226, 229, 260</t>
  </si>
  <si>
    <t>powiat gdański</t>
  </si>
  <si>
    <t>Pszczółki</t>
  </si>
  <si>
    <t>009, 260, 265</t>
  </si>
  <si>
    <t>Cieplewo</t>
  </si>
  <si>
    <t>009, 260</t>
  </si>
  <si>
    <t>Różyny</t>
  </si>
  <si>
    <t>Skowarcz</t>
  </si>
  <si>
    <t>Kartuzy</t>
  </si>
  <si>
    <t>214, 229</t>
  </si>
  <si>
    <t>powiat kartuski</t>
  </si>
  <si>
    <t>Żukowo</t>
  </si>
  <si>
    <t>201</t>
  </si>
  <si>
    <t>Żukowo Wschodnie</t>
  </si>
  <si>
    <t>Pępowo Kartuskie</t>
  </si>
  <si>
    <t>Rębiechowo</t>
  </si>
  <si>
    <t>Borkowo</t>
  </si>
  <si>
    <t>Dzierżążno</t>
  </si>
  <si>
    <t>229</t>
  </si>
  <si>
    <t>Gołubie Kaszubskie</t>
  </si>
  <si>
    <t>Stężyca</t>
  </si>
  <si>
    <t>Somonino</t>
  </si>
  <si>
    <t>201, 214</t>
  </si>
  <si>
    <t>Kiełpino Kartuskie</t>
  </si>
  <si>
    <t>Wieżyca</t>
  </si>
  <si>
    <t>Stara Piła</t>
  </si>
  <si>
    <t>Sławki</t>
  </si>
  <si>
    <t>Krzeszna</t>
  </si>
  <si>
    <t>Leźno</t>
  </si>
  <si>
    <t>Otomino</t>
  </si>
  <si>
    <t>Żukowo Zachodnie</t>
  </si>
  <si>
    <t>Kraków Lotnisko</t>
  </si>
  <si>
    <t>118</t>
  </si>
  <si>
    <t>Małopolskie</t>
  </si>
  <si>
    <t>Kraków</t>
  </si>
  <si>
    <t>powiat krakowski</t>
  </si>
  <si>
    <t>Zabierzów</t>
  </si>
  <si>
    <t>Krzeszowice</t>
  </si>
  <si>
    <t>133</t>
  </si>
  <si>
    <t>Skawina</t>
  </si>
  <si>
    <t>094, 097</t>
  </si>
  <si>
    <t>Rudawa</t>
  </si>
  <si>
    <t>Wola Filipowska</t>
  </si>
  <si>
    <t>Baranówka</t>
  </si>
  <si>
    <t>008</t>
  </si>
  <si>
    <t>Kocmyrzów-Luborzyca</t>
  </si>
  <si>
    <t>Łuczyce</t>
  </si>
  <si>
    <t>Słomniki</t>
  </si>
  <si>
    <t>Goszcza</t>
  </si>
  <si>
    <t>Słomniki Miasto</t>
  </si>
  <si>
    <t>Wielkie Drogi</t>
  </si>
  <si>
    <t>094</t>
  </si>
  <si>
    <t>Skawina Jagielnia</t>
  </si>
  <si>
    <t>Zabierzów Rząska</t>
  </si>
  <si>
    <t>małopolskie</t>
  </si>
  <si>
    <t>Kraków Batowice</t>
  </si>
  <si>
    <t>008, 095</t>
  </si>
  <si>
    <t>Zielonki</t>
  </si>
  <si>
    <t>Niedźwiedź</t>
  </si>
  <si>
    <t>Smroków</t>
  </si>
  <si>
    <t>Jaśkowice</t>
  </si>
  <si>
    <t>Podbory Skawińskie</t>
  </si>
  <si>
    <t>Zelczyna</t>
  </si>
  <si>
    <t xml:space="preserve"> 94</t>
  </si>
  <si>
    <t>Zastów</t>
  </si>
  <si>
    <t>Skawina Zachodnia</t>
  </si>
  <si>
    <t>Radziszów</t>
  </si>
  <si>
    <t>097</t>
  </si>
  <si>
    <t>Radziszów Centrum</t>
  </si>
  <si>
    <t>Rzozów</t>
  </si>
  <si>
    <t>Wola Radziszowska</t>
  </si>
  <si>
    <t>Wola Radziszowska Lipki</t>
  </si>
  <si>
    <t xml:space="preserve"> 97</t>
  </si>
  <si>
    <t>Rzozów Centrum</t>
  </si>
  <si>
    <t>Kraków Piastów</t>
  </si>
  <si>
    <t xml:space="preserve">  8</t>
  </si>
  <si>
    <t>Kraków Główny</t>
  </si>
  <si>
    <t>008, 091, 118, 133</t>
  </si>
  <si>
    <t>powiat Kraków</t>
  </si>
  <si>
    <t>Kraków Płaszów</t>
  </si>
  <si>
    <t>091, 094, 100, 604, 605</t>
  </si>
  <si>
    <t>Kraków Grzegórzki</t>
  </si>
  <si>
    <t>629</t>
  </si>
  <si>
    <t>Kraków Łobzów</t>
  </si>
  <si>
    <t>118, 133</t>
  </si>
  <si>
    <t>Kraków Bronowice</t>
  </si>
  <si>
    <t>Kraków Zabłocie</t>
  </si>
  <si>
    <t>091, 624</t>
  </si>
  <si>
    <t>Kraków Złocień</t>
  </si>
  <si>
    <t>Kraków Bieżanów</t>
  </si>
  <si>
    <t>091, 109, 606</t>
  </si>
  <si>
    <t>Kraków Bonarka</t>
  </si>
  <si>
    <t>094, 603, 624</t>
  </si>
  <si>
    <t>Kraków Prokocim</t>
  </si>
  <si>
    <t>091, 629</t>
  </si>
  <si>
    <t>Kraków Zakliki</t>
  </si>
  <si>
    <t>Kraków Łagiewniki</t>
  </si>
  <si>
    <t>Kraków Podgórze</t>
  </si>
  <si>
    <t>624</t>
  </si>
  <si>
    <t>Kraków Opatkowice</t>
  </si>
  <si>
    <t>Kraków Sidzina</t>
  </si>
  <si>
    <t>Kraków Swoszowice</t>
  </si>
  <si>
    <t>Kraków Bieżanów Drożdżownia</t>
  </si>
  <si>
    <t>109</t>
  </si>
  <si>
    <t>Kraków Olszanica</t>
  </si>
  <si>
    <t>Kraków Mydlniki Wapiennik</t>
  </si>
  <si>
    <t>Kraków Młynówka</t>
  </si>
  <si>
    <t>Kraków Sanktuarium</t>
  </si>
  <si>
    <t>Kraków Mydlniki</t>
  </si>
  <si>
    <t>095, 100, 118, 133</t>
  </si>
  <si>
    <t>Kraków Nowa Huta</t>
  </si>
  <si>
    <t>095,940,941,942,943,944</t>
  </si>
  <si>
    <t>Kraków Lubocza</t>
  </si>
  <si>
    <t xml:space="preserve"> 95</t>
  </si>
  <si>
    <t>Kraków Kościelniki</t>
  </si>
  <si>
    <t>Kraków Przylasek</t>
  </si>
  <si>
    <t>Wieliczka Rynek-Kopalnia</t>
  </si>
  <si>
    <t>powiat wielicki</t>
  </si>
  <si>
    <t>Wieliczka</t>
  </si>
  <si>
    <t>Wieliczka Park</t>
  </si>
  <si>
    <t>Podłęże</t>
  </si>
  <si>
    <t>091, 095</t>
  </si>
  <si>
    <t>Niepołomice</t>
  </si>
  <si>
    <t>Kłaj</t>
  </si>
  <si>
    <t>091</t>
  </si>
  <si>
    <t>Staniątki</t>
  </si>
  <si>
    <t>Szarów</t>
  </si>
  <si>
    <t>Węgrzce Wielkie</t>
  </si>
  <si>
    <t>Wieliczka Bogucice</t>
  </si>
  <si>
    <t>Kokotów</t>
  </si>
  <si>
    <t>Bobowa-Miasto</t>
  </si>
  <si>
    <t>096</t>
  </si>
  <si>
    <t>Nowy Sącz</t>
  </si>
  <si>
    <t>powiat gorlicki</t>
  </si>
  <si>
    <t>Bobowa</t>
  </si>
  <si>
    <t>Gorlice Zagórzany</t>
  </si>
  <si>
    <t>108, 110</t>
  </si>
  <si>
    <t>Gorlice</t>
  </si>
  <si>
    <t>Biecz</t>
  </si>
  <si>
    <t>Wilczyska</t>
  </si>
  <si>
    <t>Jankowa</t>
  </si>
  <si>
    <t>Libusza</t>
  </si>
  <si>
    <t>Szalowa</t>
  </si>
  <si>
    <t>Łużna</t>
  </si>
  <si>
    <t>Wola Łużańska</t>
  </si>
  <si>
    <t>Moszczenica Małopolska</t>
  </si>
  <si>
    <t>Moszczenica</t>
  </si>
  <si>
    <t>Gorlice Glinik</t>
  </si>
  <si>
    <t>110</t>
  </si>
  <si>
    <t>Grybów</t>
  </si>
  <si>
    <t>powiat nowosądecki</t>
  </si>
  <si>
    <t>Krynica-Zdrój</t>
  </si>
  <si>
    <t>105</t>
  </si>
  <si>
    <t>Muszyna</t>
  </si>
  <si>
    <t>096, 105</t>
  </si>
  <si>
    <t>Stary Sącz</t>
  </si>
  <si>
    <t>Rytro</t>
  </si>
  <si>
    <t>Piwniczna-Zdrój</t>
  </si>
  <si>
    <t>Stróże</t>
  </si>
  <si>
    <t>096, 108</t>
  </si>
  <si>
    <t>Piwniczna</t>
  </si>
  <si>
    <t>Barcice</t>
  </si>
  <si>
    <t>Młodów</t>
  </si>
  <si>
    <t>Ptaszkowa</t>
  </si>
  <si>
    <t>Łomnica-Zdrój</t>
  </si>
  <si>
    <t>Zubrzyk</t>
  </si>
  <si>
    <t>Muszyna Zdrój</t>
  </si>
  <si>
    <t>Kamionka Wielka</t>
  </si>
  <si>
    <t>Mszalnica</t>
  </si>
  <si>
    <t>Wierchomla Wielka</t>
  </si>
  <si>
    <t>Andrzejówka</t>
  </si>
  <si>
    <t>Żegiestów</t>
  </si>
  <si>
    <t>Milik</t>
  </si>
  <si>
    <t>Powroźnik</t>
  </si>
  <si>
    <t>Polna</t>
  </si>
  <si>
    <t>096, 104</t>
  </si>
  <si>
    <t>powiat Nowy Sącz</t>
  </si>
  <si>
    <t>Nowy Sącz Dąbrówka</t>
  </si>
  <si>
    <t xml:space="preserve"> 96</t>
  </si>
  <si>
    <t>Nowy Sącz Biegonice</t>
  </si>
  <si>
    <t>Nowy Sącz Gorzków</t>
  </si>
  <si>
    <t>Nowy Sącz Jamnica</t>
  </si>
  <si>
    <t>Drawsko Pomorskie</t>
  </si>
  <si>
    <t>Zachodniopomorskie</t>
  </si>
  <si>
    <t>Pomorze Środkowe</t>
  </si>
  <si>
    <t>powiat drawski</t>
  </si>
  <si>
    <t>Czaplinek</t>
  </si>
  <si>
    <t>Złocieniec</t>
  </si>
  <si>
    <t>210, 410</t>
  </si>
  <si>
    <t>Kalisz Pomorski</t>
  </si>
  <si>
    <t>403, 410</t>
  </si>
  <si>
    <t>Cybowo</t>
  </si>
  <si>
    <t>403</t>
  </si>
  <si>
    <t>Jankowo Pomorskie</t>
  </si>
  <si>
    <t>Rzęśnica</t>
  </si>
  <si>
    <t>Suliszewo Drawskie</t>
  </si>
  <si>
    <t>Żelisławie Pomorskie</t>
  </si>
  <si>
    <t>Biały Zdrój Południowy</t>
  </si>
  <si>
    <t>Bobrowo Pomorskie</t>
  </si>
  <si>
    <t>Czarne Małe</t>
  </si>
  <si>
    <t>Świdwin</t>
  </si>
  <si>
    <t>202, 421</t>
  </si>
  <si>
    <t>powiat świdwiński</t>
  </si>
  <si>
    <t>Rąbino</t>
  </si>
  <si>
    <t>Świdwin Zamek</t>
  </si>
  <si>
    <t>zachodniopomorskie</t>
  </si>
  <si>
    <t>Nielep</t>
  </si>
  <si>
    <t>Wałcz</t>
  </si>
  <si>
    <t>powiat wałecki</t>
  </si>
  <si>
    <t>Tuczno Krajeńskie</t>
  </si>
  <si>
    <t>Tuczno</t>
  </si>
  <si>
    <t>Wałcz Raduń</t>
  </si>
  <si>
    <t>Jeziorki Wałeckie</t>
  </si>
  <si>
    <t>Rutwica</t>
  </si>
  <si>
    <t>Strączno</t>
  </si>
  <si>
    <t>Dobino Wałeckie</t>
  </si>
  <si>
    <t>Krępa Krajeńska</t>
  </si>
  <si>
    <t>Sławno</t>
  </si>
  <si>
    <t>202, 418</t>
  </si>
  <si>
    <t>Słupsk</t>
  </si>
  <si>
    <t>powiat sławieński</t>
  </si>
  <si>
    <t>Darłowo</t>
  </si>
  <si>
    <t>418</t>
  </si>
  <si>
    <t>Wrześnica</t>
  </si>
  <si>
    <t>Wiekowo</t>
  </si>
  <si>
    <t>Karwice</t>
  </si>
  <si>
    <t>Malechowo</t>
  </si>
  <si>
    <t>Boleszewo</t>
  </si>
  <si>
    <t>Nowy Jarosław</t>
  </si>
  <si>
    <t>Sińczyca</t>
  </si>
  <si>
    <t>202, 405</t>
  </si>
  <si>
    <t>powiat Słupsk</t>
  </si>
  <si>
    <t>Słupsk Północny</t>
  </si>
  <si>
    <t>54.481</t>
  </si>
  <si>
    <t>Ustka</t>
  </si>
  <si>
    <t>405</t>
  </si>
  <si>
    <t>powiat słupski</t>
  </si>
  <si>
    <t>Ustka Uroczysko</t>
  </si>
  <si>
    <t>Potęgowo</t>
  </si>
  <si>
    <t>Damnica</t>
  </si>
  <si>
    <t>Kępice</t>
  </si>
  <si>
    <t>Jezierzyce Słupskie</t>
  </si>
  <si>
    <t>Korzybie</t>
  </si>
  <si>
    <t>212, 405</t>
  </si>
  <si>
    <t>Gałęzinowo</t>
  </si>
  <si>
    <t>Strzyżyno Słupskie</t>
  </si>
  <si>
    <t>Strzelinko</t>
  </si>
  <si>
    <t>Reblino</t>
  </si>
  <si>
    <t>Kobylnica</t>
  </si>
  <si>
    <t>Głuszyno Pomorskie</t>
  </si>
  <si>
    <t>Biesowice</t>
  </si>
  <si>
    <t>Kępka</t>
  </si>
  <si>
    <t>Przytocko</t>
  </si>
  <si>
    <t>Charnowo Słupskie</t>
  </si>
  <si>
    <t>Sycewice</t>
  </si>
  <si>
    <t>Ciecholub</t>
  </si>
  <si>
    <t>Wrząca Pomorska</t>
  </si>
  <si>
    <t>Kobylnica Słupska</t>
  </si>
  <si>
    <t>Słonowice</t>
  </si>
  <si>
    <t>Widzino</t>
  </si>
  <si>
    <t>Nisko</t>
  </si>
  <si>
    <t>068</t>
  </si>
  <si>
    <t>Stalowa Wola</t>
  </si>
  <si>
    <t>powiat niżański</t>
  </si>
  <si>
    <t>Rudnik nad Sanem</t>
  </si>
  <si>
    <t>Nisko Osiedle</t>
  </si>
  <si>
    <t>Nisko Podwolina</t>
  </si>
  <si>
    <t>Rudnik Stróża</t>
  </si>
  <si>
    <t>Łętownia</t>
  </si>
  <si>
    <t>Jeżowe</t>
  </si>
  <si>
    <t>Moskale</t>
  </si>
  <si>
    <t>Nisko Racławice</t>
  </si>
  <si>
    <t>Stalowa Wola Rozwadów</t>
  </si>
  <si>
    <t>068, 074</t>
  </si>
  <si>
    <t>powiat stalowowolski</t>
  </si>
  <si>
    <t>Stalowa Wola Centrum</t>
  </si>
  <si>
    <t>Zaklików</t>
  </si>
  <si>
    <t>Stalowa Wola Południe</t>
  </si>
  <si>
    <t>066, 068</t>
  </si>
  <si>
    <t>Stalowa Wola Charzewice</t>
  </si>
  <si>
    <t>Lipa</t>
  </si>
  <si>
    <t>Zbydniów</t>
  </si>
  <si>
    <t>074</t>
  </si>
  <si>
    <t>Zaleszany</t>
  </si>
  <si>
    <t>Kępa</t>
  </si>
  <si>
    <t>Radomyśl nad Sanem</t>
  </si>
  <si>
    <t>Zaklików Miasto</t>
  </si>
  <si>
    <t xml:space="preserve"> 68</t>
  </si>
  <si>
    <t>Turbia</t>
  </si>
  <si>
    <t>Pilchów</t>
  </si>
  <si>
    <t>Kod</t>
  </si>
  <si>
    <t>Nazwa</t>
  </si>
  <si>
    <t>ludność_w_tys;2024;[tys. osób]</t>
  </si>
  <si>
    <t>pomiary_gosp</t>
  </si>
  <si>
    <t>stopa bezrobocia rejestr [%]</t>
  </si>
  <si>
    <t>liczba ludności z wyższym wykształecniem (spis powszechny 2021)</t>
  </si>
  <si>
    <t>ludność w 1000 osób (2024)</t>
  </si>
  <si>
    <t>powiat  Kraków</t>
  </si>
  <si>
    <t>powiat  Nowy Sącz</t>
  </si>
  <si>
    <t>powiat  Gdańsk</t>
  </si>
  <si>
    <t>powiat  Słupsk</t>
  </si>
  <si>
    <t>Podmioty gospodarcze (na 1000 os)</t>
  </si>
  <si>
    <t>Stopa bezrobcia % (2024)</t>
  </si>
  <si>
    <t>Liczba ludności z wyższym wykształceniem (2021)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</si>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</sst>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0"/>
      <color theme="0"/>
      <name val="Lato"/>
      <family val="2"/>
      <charset val="238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42B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4" fontId="0" fillId="0" borderId="1" xfId="0" applyNumberFormat="1" applyBorder="1"/>
    <xf numFmtId="1" fontId="0" fillId="0" borderId="1" xfId="0" applyNumberFormat="1" applyBorder="1"/>
    <xf numFmtId="3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/>
    <xf numFmtId="0" fontId="1" fillId="2" borderId="2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3AB89-0A15-4D2B-AF55-9D4AD0FDDB2A}">
  <dimension ref="A1:R277"/>
  <sheetViews>
    <sheetView tabSelected="1" zoomScaleNormal="100" workbookViewId="0">
      <selection activeCell="R28" sqref="Q2:R28"/>
    </sheetView>
  </sheetViews>
  <sheetFormatPr defaultRowHeight="15" x14ac:dyDescent="0.25"/>
  <cols>
    <col min="1" max="1" width="28.85546875" bestFit="1" customWidth="1"/>
    <col min="2" max="3" width="12.140625" customWidth="1"/>
    <col min="5" max="5" width="20.140625" bestFit="1" customWidth="1"/>
    <col min="6" max="6" width="20.140625" customWidth="1"/>
    <col min="7" max="7" width="18.140625" customWidth="1"/>
    <col min="8" max="8" width="20.85546875" bestFit="1" customWidth="1"/>
    <col min="9" max="9" width="12.85546875" customWidth="1"/>
    <col min="10" max="10" width="21" customWidth="1"/>
    <col min="11" max="11" width="19.85546875" customWidth="1"/>
    <col min="15" max="15" width="11.28515625" bestFit="1" customWidth="1"/>
    <col min="17" max="17" width="9.42578125" bestFit="1" customWidth="1"/>
  </cols>
  <sheetData>
    <row r="1" spans="1:15" ht="76.5" x14ac:dyDescent="0.2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5" t="s">
        <v>6</v>
      </c>
      <c r="H1" s="6" t="s">
        <v>7</v>
      </c>
      <c r="I1" s="5" t="s">
        <v>8</v>
      </c>
      <c r="J1" s="7" t="s">
        <v>9</v>
      </c>
      <c r="K1" s="5" t="s">
        <v>10</v>
      </c>
      <c r="L1" s="9" t="s">
        <v>422</v>
      </c>
      <c r="M1" s="9" t="s">
        <v>427</v>
      </c>
      <c r="N1" s="9" t="s">
        <v>428</v>
      </c>
      <c r="O1" s="9" t="s">
        <v>429</v>
      </c>
    </row>
    <row r="2" spans="1:15" x14ac:dyDescent="0.25">
      <c r="A2" s="1" t="s">
        <v>11</v>
      </c>
      <c r="B2" s="1">
        <v>22.595988999999999</v>
      </c>
      <c r="C2" s="1">
        <v>49.429076000000002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11</v>
      </c>
      <c r="I2" s="1">
        <v>15</v>
      </c>
      <c r="J2" s="1">
        <v>3.8743169398907105</v>
      </c>
      <c r="K2" s="1" t="s">
        <v>16</v>
      </c>
      <c r="L2" cm="1">
        <f t="array" ref="L2:L277">VLOOKUP(G2:G277,Arkusz2!B2:C23,2)</f>
        <v>20.420000000000002</v>
      </c>
      <c r="M2" cm="1">
        <f t="array" ref="M2:M277">VLOOKUP(G2:G277,Arkusz2!B2:F23,3)</f>
        <v>35.5</v>
      </c>
      <c r="N2" cm="1">
        <f t="array" ref="N2:N277">VLOOKUP(G2:G277,Arkusz2!B2:F23,4)</f>
        <v>16.100000000000001</v>
      </c>
      <c r="O2" cm="1">
        <f t="array" ref="O2:O277">VLOOKUP(G2:G277,Arkusz2!B2:F23,5)</f>
        <v>3125</v>
      </c>
    </row>
    <row r="3" spans="1:15" x14ac:dyDescent="0.25">
      <c r="A3" s="1" t="s">
        <v>17</v>
      </c>
      <c r="B3" s="1">
        <v>22.506616000000001</v>
      </c>
      <c r="C3" s="1">
        <v>49.436016000000002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11</v>
      </c>
      <c r="I3" s="1">
        <v>5</v>
      </c>
      <c r="J3" s="1">
        <v>3.8743169398907105</v>
      </c>
      <c r="K3" s="1" t="s">
        <v>18</v>
      </c>
      <c r="L3">
        <v>20.420000000000002</v>
      </c>
      <c r="M3">
        <v>35.5</v>
      </c>
      <c r="N3">
        <v>16.100000000000001</v>
      </c>
      <c r="O3">
        <v>3125</v>
      </c>
    </row>
    <row r="4" spans="1:15" x14ac:dyDescent="0.25">
      <c r="A4" s="1" t="s">
        <v>19</v>
      </c>
      <c r="B4" s="1">
        <v>22.399699999999999</v>
      </c>
      <c r="C4" s="1">
        <v>49.465200000000003</v>
      </c>
      <c r="D4" s="1" t="s">
        <v>12</v>
      </c>
      <c r="E4" s="1" t="s">
        <v>13</v>
      </c>
      <c r="F4" s="1" t="s">
        <v>14</v>
      </c>
      <c r="G4" s="1" t="s">
        <v>20</v>
      </c>
      <c r="H4" s="1" t="s">
        <v>21</v>
      </c>
      <c r="I4" s="1">
        <v>5</v>
      </c>
      <c r="J4" s="1">
        <v>4.4344262295081966</v>
      </c>
      <c r="K4" s="1" t="s">
        <v>18</v>
      </c>
      <c r="L4">
        <v>25.22</v>
      </c>
      <c r="M4">
        <v>36.799999999999997</v>
      </c>
      <c r="N4">
        <v>19.2</v>
      </c>
      <c r="O4">
        <v>3992</v>
      </c>
    </row>
    <row r="5" spans="1:15" x14ac:dyDescent="0.25">
      <c r="A5" s="1" t="s">
        <v>22</v>
      </c>
      <c r="B5" s="1">
        <v>22.3354</v>
      </c>
      <c r="C5" s="1">
        <v>49.505499999999998</v>
      </c>
      <c r="D5" s="1" t="s">
        <v>12</v>
      </c>
      <c r="E5" s="1" t="s">
        <v>13</v>
      </c>
      <c r="F5" s="1" t="s">
        <v>14</v>
      </c>
      <c r="G5" s="1" t="s">
        <v>20</v>
      </c>
      <c r="H5" s="1" t="s">
        <v>23</v>
      </c>
      <c r="I5" s="1">
        <v>5</v>
      </c>
      <c r="J5" s="1">
        <v>4.4262295081967213</v>
      </c>
      <c r="K5" s="1" t="s">
        <v>18</v>
      </c>
      <c r="L5">
        <v>25.22</v>
      </c>
      <c r="M5">
        <v>36.799999999999997</v>
      </c>
      <c r="N5">
        <v>19.2</v>
      </c>
      <c r="O5">
        <v>3992</v>
      </c>
    </row>
    <row r="6" spans="1:15" x14ac:dyDescent="0.25">
      <c r="A6" s="1" t="s">
        <v>24</v>
      </c>
      <c r="B6" s="1">
        <v>22.359055000000001</v>
      </c>
      <c r="C6" s="1">
        <v>49.485154999999999</v>
      </c>
      <c r="D6" s="1" t="s">
        <v>12</v>
      </c>
      <c r="E6" s="1" t="s">
        <v>13</v>
      </c>
      <c r="F6" s="1" t="s">
        <v>14</v>
      </c>
      <c r="G6" s="1" t="s">
        <v>20</v>
      </c>
      <c r="H6" s="1" t="s">
        <v>23</v>
      </c>
      <c r="I6" s="1">
        <v>5</v>
      </c>
      <c r="J6" s="1">
        <v>4.3469945355191255</v>
      </c>
      <c r="K6" s="1" t="s">
        <v>18</v>
      </c>
      <c r="L6">
        <v>25.22</v>
      </c>
      <c r="M6">
        <v>36.799999999999997</v>
      </c>
      <c r="N6">
        <v>19.2</v>
      </c>
      <c r="O6">
        <v>3992</v>
      </c>
    </row>
    <row r="7" spans="1:15" x14ac:dyDescent="0.25">
      <c r="A7" s="1" t="s">
        <v>25</v>
      </c>
      <c r="B7" s="1">
        <v>22.380475000000001</v>
      </c>
      <c r="C7" s="1">
        <v>49.463763999999998</v>
      </c>
      <c r="D7" s="1" t="s">
        <v>12</v>
      </c>
      <c r="E7" s="1" t="s">
        <v>13</v>
      </c>
      <c r="F7" s="1" t="s">
        <v>14</v>
      </c>
      <c r="G7" s="1" t="s">
        <v>20</v>
      </c>
      <c r="H7" s="1" t="s">
        <v>21</v>
      </c>
      <c r="I7" s="1">
        <v>5</v>
      </c>
      <c r="J7" s="1">
        <v>4.3469945355191255</v>
      </c>
      <c r="K7" s="1" t="s">
        <v>18</v>
      </c>
      <c r="L7">
        <v>25.22</v>
      </c>
      <c r="M7">
        <v>36.799999999999997</v>
      </c>
      <c r="N7">
        <v>19.2</v>
      </c>
      <c r="O7">
        <v>3992</v>
      </c>
    </row>
    <row r="8" spans="1:15" x14ac:dyDescent="0.25">
      <c r="A8" s="1" t="s">
        <v>21</v>
      </c>
      <c r="B8" s="1">
        <v>22.435870999999999</v>
      </c>
      <c r="C8" s="1">
        <v>49.476622999999996</v>
      </c>
      <c r="D8" s="1" t="s">
        <v>12</v>
      </c>
      <c r="E8" s="1" t="s">
        <v>13</v>
      </c>
      <c r="F8" s="1" t="s">
        <v>14</v>
      </c>
      <c r="G8" s="1" t="s">
        <v>20</v>
      </c>
      <c r="H8" s="1" t="s">
        <v>21</v>
      </c>
      <c r="I8" s="1">
        <v>5</v>
      </c>
      <c r="J8" s="1">
        <v>3.8743169398907105</v>
      </c>
      <c r="K8" s="1" t="s">
        <v>18</v>
      </c>
      <c r="L8">
        <v>25.22</v>
      </c>
      <c r="M8">
        <v>36.799999999999997</v>
      </c>
      <c r="N8">
        <v>19.2</v>
      </c>
      <c r="O8">
        <v>3992</v>
      </c>
    </row>
    <row r="9" spans="1:15" x14ac:dyDescent="0.25">
      <c r="A9" s="1" t="s">
        <v>26</v>
      </c>
      <c r="B9" s="1">
        <v>22.210899999999999</v>
      </c>
      <c r="C9" s="1">
        <v>49.553199999999997</v>
      </c>
      <c r="D9" s="1" t="s">
        <v>12</v>
      </c>
      <c r="E9" s="1" t="s">
        <v>13</v>
      </c>
      <c r="F9" s="1" t="s">
        <v>14</v>
      </c>
      <c r="G9" s="1" t="s">
        <v>27</v>
      </c>
      <c r="H9" s="1" t="s">
        <v>26</v>
      </c>
      <c r="I9" s="1">
        <v>125</v>
      </c>
      <c r="J9" s="1">
        <v>11.472677595628415</v>
      </c>
      <c r="K9" s="1" t="s">
        <v>28</v>
      </c>
      <c r="L9">
        <v>53</v>
      </c>
      <c r="M9">
        <v>40.799999999999997</v>
      </c>
      <c r="N9">
        <v>11.4</v>
      </c>
      <c r="O9">
        <v>7043</v>
      </c>
    </row>
    <row r="10" spans="1:15" x14ac:dyDescent="0.25">
      <c r="A10" s="1" t="s">
        <v>29</v>
      </c>
      <c r="B10" s="1">
        <v>22.264399999999998</v>
      </c>
      <c r="C10" s="1">
        <v>49.513599999999997</v>
      </c>
      <c r="D10" s="1" t="s">
        <v>30</v>
      </c>
      <c r="E10" s="1" t="s">
        <v>13</v>
      </c>
      <c r="F10" s="1" t="s">
        <v>14</v>
      </c>
      <c r="G10" s="1" t="s">
        <v>27</v>
      </c>
      <c r="H10" s="1" t="s">
        <v>29</v>
      </c>
      <c r="I10" s="1">
        <v>75</v>
      </c>
      <c r="J10" s="1">
        <v>8.7049180327868854</v>
      </c>
      <c r="K10" s="1" t="s">
        <v>31</v>
      </c>
      <c r="L10">
        <v>53</v>
      </c>
      <c r="M10">
        <v>40.799999999999997</v>
      </c>
      <c r="N10">
        <v>11.4</v>
      </c>
      <c r="O10">
        <v>7043</v>
      </c>
    </row>
    <row r="11" spans="1:15" x14ac:dyDescent="0.25">
      <c r="A11" s="1" t="s">
        <v>32</v>
      </c>
      <c r="B11" s="1">
        <v>22.019600000000001</v>
      </c>
      <c r="C11" s="1">
        <v>49.584200000000003</v>
      </c>
      <c r="D11" s="1" t="s">
        <v>12</v>
      </c>
      <c r="E11" s="1" t="s">
        <v>13</v>
      </c>
      <c r="F11" s="1" t="s">
        <v>14</v>
      </c>
      <c r="G11" s="1" t="s">
        <v>27</v>
      </c>
      <c r="H11" s="1" t="s">
        <v>32</v>
      </c>
      <c r="I11" s="1">
        <v>35</v>
      </c>
      <c r="J11" s="1">
        <v>6.7732240437158469</v>
      </c>
      <c r="K11" s="1" t="s">
        <v>16</v>
      </c>
      <c r="L11">
        <v>53</v>
      </c>
      <c r="M11">
        <v>40.799999999999997</v>
      </c>
      <c r="N11">
        <v>11.4</v>
      </c>
      <c r="O11">
        <v>7043</v>
      </c>
    </row>
    <row r="12" spans="1:15" x14ac:dyDescent="0.25">
      <c r="A12" s="1" t="s">
        <v>33</v>
      </c>
      <c r="B12" s="1">
        <v>22.2591</v>
      </c>
      <c r="C12" s="1">
        <v>49.5212</v>
      </c>
      <c r="D12" s="1" t="s">
        <v>34</v>
      </c>
      <c r="E12" s="1" t="s">
        <v>13</v>
      </c>
      <c r="F12" s="1" t="s">
        <v>14</v>
      </c>
      <c r="G12" s="1" t="s">
        <v>27</v>
      </c>
      <c r="H12" s="1" t="s">
        <v>29</v>
      </c>
      <c r="I12" s="1">
        <v>5</v>
      </c>
      <c r="J12" s="1">
        <v>4.6147540983606561</v>
      </c>
      <c r="K12" s="1" t="s">
        <v>18</v>
      </c>
      <c r="L12">
        <v>53</v>
      </c>
      <c r="M12">
        <v>40.799999999999997</v>
      </c>
      <c r="N12">
        <v>11.4</v>
      </c>
      <c r="O12">
        <v>7043</v>
      </c>
    </row>
    <row r="13" spans="1:15" x14ac:dyDescent="0.25">
      <c r="A13" s="1" t="s">
        <v>35</v>
      </c>
      <c r="B13" s="1">
        <v>22.3126</v>
      </c>
      <c r="C13" s="1">
        <v>49.529349000000003</v>
      </c>
      <c r="D13" s="1" t="s">
        <v>12</v>
      </c>
      <c r="E13" s="1" t="s">
        <v>13</v>
      </c>
      <c r="F13" s="1" t="s">
        <v>14</v>
      </c>
      <c r="G13" s="1" t="s">
        <v>27</v>
      </c>
      <c r="H13" s="1" t="s">
        <v>26</v>
      </c>
      <c r="I13" s="1">
        <v>5</v>
      </c>
      <c r="J13" s="1">
        <v>4.3469945355191255</v>
      </c>
      <c r="K13" s="1" t="s">
        <v>18</v>
      </c>
      <c r="L13">
        <v>53</v>
      </c>
      <c r="M13">
        <v>40.799999999999997</v>
      </c>
      <c r="N13">
        <v>11.4</v>
      </c>
      <c r="O13">
        <v>7043</v>
      </c>
    </row>
    <row r="14" spans="1:15" x14ac:dyDescent="0.25">
      <c r="A14" s="1" t="s">
        <v>36</v>
      </c>
      <c r="B14" s="1">
        <v>21.956399999999999</v>
      </c>
      <c r="C14" s="1">
        <v>49.590400000000002</v>
      </c>
      <c r="D14" s="1" t="s">
        <v>12</v>
      </c>
      <c r="E14" s="1" t="s">
        <v>13</v>
      </c>
      <c r="F14" s="1" t="s">
        <v>14</v>
      </c>
      <c r="G14" s="1" t="s">
        <v>27</v>
      </c>
      <c r="H14" s="1" t="s">
        <v>36</v>
      </c>
      <c r="I14" s="1">
        <v>5</v>
      </c>
      <c r="J14" s="1">
        <v>2.942622950819672</v>
      </c>
      <c r="K14" s="1" t="s">
        <v>16</v>
      </c>
      <c r="L14">
        <v>53</v>
      </c>
      <c r="M14">
        <v>40.799999999999997</v>
      </c>
      <c r="N14">
        <v>11.4</v>
      </c>
      <c r="O14">
        <v>7043</v>
      </c>
    </row>
    <row r="15" spans="1:15" x14ac:dyDescent="0.25">
      <c r="A15" s="1" t="s">
        <v>37</v>
      </c>
      <c r="B15" s="1">
        <v>22.198399999999999</v>
      </c>
      <c r="C15" s="1">
        <v>49.555999999999997</v>
      </c>
      <c r="D15" s="1" t="s">
        <v>12</v>
      </c>
      <c r="E15" s="1" t="s">
        <v>13</v>
      </c>
      <c r="F15" s="1" t="s">
        <v>14</v>
      </c>
      <c r="G15" s="1" t="s">
        <v>27</v>
      </c>
      <c r="H15" s="1" t="s">
        <v>26</v>
      </c>
      <c r="I15" s="1">
        <v>5</v>
      </c>
      <c r="J15" s="1">
        <v>2.9398907103825138</v>
      </c>
      <c r="K15" s="1" t="s">
        <v>18</v>
      </c>
      <c r="L15">
        <v>53</v>
      </c>
      <c r="M15">
        <v>40.799999999999997</v>
      </c>
      <c r="N15">
        <v>11.4</v>
      </c>
      <c r="O15">
        <v>7043</v>
      </c>
    </row>
    <row r="16" spans="1:15" x14ac:dyDescent="0.25">
      <c r="A16" s="1" t="s">
        <v>38</v>
      </c>
      <c r="B16" s="1">
        <v>22.049199999999999</v>
      </c>
      <c r="C16" s="1">
        <v>49.578200000000002</v>
      </c>
      <c r="D16" s="1" t="s">
        <v>12</v>
      </c>
      <c r="E16" s="1" t="s">
        <v>13</v>
      </c>
      <c r="F16" s="1" t="s">
        <v>14</v>
      </c>
      <c r="G16" s="1" t="s">
        <v>27</v>
      </c>
      <c r="H16" s="1" t="s">
        <v>32</v>
      </c>
      <c r="I16" s="1">
        <v>5</v>
      </c>
      <c r="J16" s="1">
        <v>2.7759562841530054</v>
      </c>
      <c r="K16" s="1" t="s">
        <v>18</v>
      </c>
      <c r="L16">
        <v>53</v>
      </c>
      <c r="M16">
        <v>40.799999999999997</v>
      </c>
      <c r="N16">
        <v>11.4</v>
      </c>
      <c r="O16">
        <v>7043</v>
      </c>
    </row>
    <row r="17" spans="1:18" x14ac:dyDescent="0.25">
      <c r="A17" s="1" t="s">
        <v>39</v>
      </c>
      <c r="B17" s="1">
        <v>22.085599999999999</v>
      </c>
      <c r="C17" s="1">
        <v>49.562399999999997</v>
      </c>
      <c r="D17" s="1" t="s">
        <v>12</v>
      </c>
      <c r="E17" s="1" t="s">
        <v>13</v>
      </c>
      <c r="F17" s="1" t="s">
        <v>14</v>
      </c>
      <c r="G17" s="1" t="s">
        <v>27</v>
      </c>
      <c r="H17" s="1" t="s">
        <v>32</v>
      </c>
      <c r="I17" s="1">
        <v>5</v>
      </c>
      <c r="J17" s="1">
        <v>2.7759562841530054</v>
      </c>
      <c r="K17" s="1" t="s">
        <v>18</v>
      </c>
      <c r="L17">
        <v>53</v>
      </c>
      <c r="M17">
        <v>40.799999999999997</v>
      </c>
      <c r="N17">
        <v>11.4</v>
      </c>
      <c r="O17">
        <v>7043</v>
      </c>
    </row>
    <row r="18" spans="1:18" x14ac:dyDescent="0.25">
      <c r="A18" s="1" t="s">
        <v>40</v>
      </c>
      <c r="B18" s="1">
        <v>22.159500000000001</v>
      </c>
      <c r="C18" s="1">
        <v>49.569099999999999</v>
      </c>
      <c r="D18" s="1" t="s">
        <v>12</v>
      </c>
      <c r="E18" s="1" t="s">
        <v>13</v>
      </c>
      <c r="F18" s="1" t="s">
        <v>14</v>
      </c>
      <c r="G18" s="1" t="s">
        <v>27</v>
      </c>
      <c r="H18" s="1" t="s">
        <v>26</v>
      </c>
      <c r="I18" s="1">
        <v>5</v>
      </c>
      <c r="J18" s="1">
        <v>2.7759562841530054</v>
      </c>
      <c r="K18" s="1" t="s">
        <v>18</v>
      </c>
      <c r="L18">
        <v>53</v>
      </c>
      <c r="M18">
        <v>40.799999999999997</v>
      </c>
      <c r="N18">
        <v>11.4</v>
      </c>
      <c r="O18">
        <v>7043</v>
      </c>
    </row>
    <row r="19" spans="1:18" x14ac:dyDescent="0.25">
      <c r="A19" s="1" t="s">
        <v>41</v>
      </c>
      <c r="B19" s="1">
        <v>22.072399999999998</v>
      </c>
      <c r="C19" s="1">
        <v>49.338799999999999</v>
      </c>
      <c r="D19" s="1" t="s">
        <v>42</v>
      </c>
      <c r="E19" s="1" t="s">
        <v>13</v>
      </c>
      <c r="F19" s="1" t="s">
        <v>14</v>
      </c>
      <c r="G19" s="1" t="s">
        <v>27</v>
      </c>
      <c r="H19" s="1" t="s">
        <v>41</v>
      </c>
      <c r="I19" s="1">
        <v>5</v>
      </c>
      <c r="J19" s="1">
        <v>0.51912568306010931</v>
      </c>
      <c r="K19" s="1" t="s">
        <v>31</v>
      </c>
      <c r="L19">
        <v>53</v>
      </c>
      <c r="M19">
        <v>40.799999999999997</v>
      </c>
      <c r="N19">
        <v>11.4</v>
      </c>
      <c r="O19">
        <v>7043</v>
      </c>
    </row>
    <row r="20" spans="1:18" x14ac:dyDescent="0.25">
      <c r="A20" s="1" t="s">
        <v>43</v>
      </c>
      <c r="B20" s="1">
        <v>22.058900000000001</v>
      </c>
      <c r="C20" s="1">
        <v>49.247399999999999</v>
      </c>
      <c r="D20" s="1" t="s">
        <v>42</v>
      </c>
      <c r="E20" s="1" t="s">
        <v>13</v>
      </c>
      <c r="F20" s="1" t="s">
        <v>14</v>
      </c>
      <c r="G20" s="1" t="s">
        <v>27</v>
      </c>
      <c r="H20" s="1" t="s">
        <v>41</v>
      </c>
      <c r="I20" s="1">
        <v>5</v>
      </c>
      <c r="J20" s="1">
        <v>0.51912568306010931</v>
      </c>
      <c r="K20" s="1" t="s">
        <v>44</v>
      </c>
      <c r="L20">
        <v>53</v>
      </c>
      <c r="M20">
        <v>40.799999999999997</v>
      </c>
      <c r="N20">
        <v>11.4</v>
      </c>
      <c r="O20">
        <v>7043</v>
      </c>
    </row>
    <row r="21" spans="1:18" x14ac:dyDescent="0.25">
      <c r="A21" s="1" t="s">
        <v>45</v>
      </c>
      <c r="B21" s="1">
        <v>22.082799999999999</v>
      </c>
      <c r="C21" s="1">
        <v>49.249400000000001</v>
      </c>
      <c r="D21" s="1" t="s">
        <v>42</v>
      </c>
      <c r="E21" s="1" t="s">
        <v>13</v>
      </c>
      <c r="F21" s="1" t="s">
        <v>14</v>
      </c>
      <c r="G21" s="1" t="s">
        <v>27</v>
      </c>
      <c r="H21" s="1" t="s">
        <v>41</v>
      </c>
      <c r="I21" s="1">
        <v>5</v>
      </c>
      <c r="J21" s="1">
        <v>0.51912568306010931</v>
      </c>
      <c r="K21" s="1" t="s">
        <v>16</v>
      </c>
      <c r="L21">
        <v>53</v>
      </c>
      <c r="M21">
        <v>40.799999999999997</v>
      </c>
      <c r="N21">
        <v>11.4</v>
      </c>
      <c r="O21">
        <v>7043</v>
      </c>
    </row>
    <row r="22" spans="1:18" x14ac:dyDescent="0.25">
      <c r="A22" s="1" t="s">
        <v>46</v>
      </c>
      <c r="B22" s="1">
        <v>22.143000000000001</v>
      </c>
      <c r="C22" s="1">
        <v>49.407200000000003</v>
      </c>
      <c r="D22" s="1" t="s">
        <v>42</v>
      </c>
      <c r="E22" s="1" t="s">
        <v>13</v>
      </c>
      <c r="F22" s="1" t="s">
        <v>14</v>
      </c>
      <c r="G22" s="1" t="s">
        <v>27</v>
      </c>
      <c r="H22" s="1" t="s">
        <v>41</v>
      </c>
      <c r="I22" s="1">
        <v>5</v>
      </c>
      <c r="J22" s="1">
        <v>0.51366120218579236</v>
      </c>
      <c r="K22" s="1" t="s">
        <v>18</v>
      </c>
      <c r="L22">
        <v>53</v>
      </c>
      <c r="M22">
        <v>40.799999999999997</v>
      </c>
      <c r="N22">
        <v>11.4</v>
      </c>
      <c r="O22">
        <v>7043</v>
      </c>
    </row>
    <row r="23" spans="1:18" x14ac:dyDescent="0.25">
      <c r="A23" s="1" t="s">
        <v>47</v>
      </c>
      <c r="B23" s="1">
        <v>22.0806</v>
      </c>
      <c r="C23" s="1">
        <v>49.346299999999999</v>
      </c>
      <c r="D23" s="1" t="s">
        <v>42</v>
      </c>
      <c r="E23" s="1" t="s">
        <v>13</v>
      </c>
      <c r="F23" s="1" t="s">
        <v>14</v>
      </c>
      <c r="G23" s="1" t="s">
        <v>27</v>
      </c>
      <c r="H23" s="1" t="s">
        <v>41</v>
      </c>
      <c r="I23" s="1">
        <v>5</v>
      </c>
      <c r="J23" s="1">
        <v>0.50819672131147542</v>
      </c>
      <c r="K23" s="1" t="s">
        <v>16</v>
      </c>
      <c r="L23">
        <v>53</v>
      </c>
      <c r="M23">
        <v>40.799999999999997</v>
      </c>
      <c r="N23">
        <v>11.4</v>
      </c>
      <c r="O23">
        <v>7043</v>
      </c>
    </row>
    <row r="24" spans="1:18" x14ac:dyDescent="0.25">
      <c r="A24" s="1" t="s">
        <v>48</v>
      </c>
      <c r="B24" s="1">
        <v>22.111999999999998</v>
      </c>
      <c r="C24" s="1">
        <v>49.371699999999997</v>
      </c>
      <c r="D24" s="1" t="s">
        <v>42</v>
      </c>
      <c r="E24" s="1" t="s">
        <v>13</v>
      </c>
      <c r="F24" s="1" t="s">
        <v>14</v>
      </c>
      <c r="G24" s="1" t="s">
        <v>27</v>
      </c>
      <c r="H24" s="1" t="s">
        <v>41</v>
      </c>
      <c r="I24" s="1">
        <v>5</v>
      </c>
      <c r="J24" s="1">
        <v>0.50819672131147542</v>
      </c>
      <c r="K24" s="1" t="s">
        <v>16</v>
      </c>
      <c r="L24">
        <v>53</v>
      </c>
      <c r="M24">
        <v>40.799999999999997</v>
      </c>
      <c r="N24">
        <v>11.4</v>
      </c>
      <c r="O24">
        <v>7043</v>
      </c>
    </row>
    <row r="25" spans="1:18" x14ac:dyDescent="0.25">
      <c r="A25" s="1" t="s">
        <v>49</v>
      </c>
      <c r="B25" s="1">
        <v>22.2195</v>
      </c>
      <c r="C25" s="1">
        <v>49.4589</v>
      </c>
      <c r="D25" s="1" t="s">
        <v>42</v>
      </c>
      <c r="E25" s="1" t="s">
        <v>13</v>
      </c>
      <c r="F25" s="1" t="s">
        <v>14</v>
      </c>
      <c r="G25" s="1" t="s">
        <v>27</v>
      </c>
      <c r="H25" s="1" t="s">
        <v>29</v>
      </c>
      <c r="I25" s="1">
        <v>5</v>
      </c>
      <c r="J25" s="1">
        <v>0.34426229508196721</v>
      </c>
      <c r="K25" s="1" t="s">
        <v>18</v>
      </c>
      <c r="L25">
        <v>53</v>
      </c>
      <c r="M25">
        <v>40.799999999999997</v>
      </c>
      <c r="N25">
        <v>11.4</v>
      </c>
      <c r="O25">
        <v>7043</v>
      </c>
    </row>
    <row r="26" spans="1:18" x14ac:dyDescent="0.25">
      <c r="A26" s="1" t="s">
        <v>50</v>
      </c>
      <c r="B26" s="1">
        <v>22.1675</v>
      </c>
      <c r="C26" s="1">
        <v>49.447499999999998</v>
      </c>
      <c r="D26" s="1" t="s">
        <v>42</v>
      </c>
      <c r="E26" s="1" t="s">
        <v>13</v>
      </c>
      <c r="F26" s="1" t="s">
        <v>14</v>
      </c>
      <c r="G26" s="1" t="s">
        <v>27</v>
      </c>
      <c r="H26" s="1" t="s">
        <v>29</v>
      </c>
      <c r="I26" s="1">
        <v>5</v>
      </c>
      <c r="J26" s="1">
        <v>0.34426229508196721</v>
      </c>
      <c r="K26" s="1" t="s">
        <v>18</v>
      </c>
      <c r="L26">
        <v>53</v>
      </c>
      <c r="M26">
        <v>40.799999999999997</v>
      </c>
      <c r="N26">
        <v>11.4</v>
      </c>
      <c r="O26">
        <v>7043</v>
      </c>
    </row>
    <row r="27" spans="1:18" x14ac:dyDescent="0.25">
      <c r="A27" s="1" t="s">
        <v>51</v>
      </c>
      <c r="B27" s="1">
        <v>22.186800000000002</v>
      </c>
      <c r="C27" s="1">
        <v>49.4621</v>
      </c>
      <c r="D27" s="1" t="s">
        <v>42</v>
      </c>
      <c r="E27" s="1" t="s">
        <v>13</v>
      </c>
      <c r="F27" s="1" t="s">
        <v>14</v>
      </c>
      <c r="G27" s="1" t="s">
        <v>27</v>
      </c>
      <c r="H27" s="1" t="s">
        <v>29</v>
      </c>
      <c r="I27" s="1">
        <v>5</v>
      </c>
      <c r="J27" s="1">
        <v>0.34426229508196721</v>
      </c>
      <c r="K27" s="1" t="s">
        <v>18</v>
      </c>
      <c r="L27">
        <v>53</v>
      </c>
      <c r="M27">
        <v>40.799999999999997</v>
      </c>
      <c r="N27">
        <v>11.4</v>
      </c>
      <c r="O27">
        <v>7043</v>
      </c>
    </row>
    <row r="28" spans="1:18" x14ac:dyDescent="0.25">
      <c r="A28" s="1" t="s">
        <v>52</v>
      </c>
      <c r="B28" s="1">
        <v>22.26</v>
      </c>
      <c r="C28" s="1">
        <v>49.479700000000001</v>
      </c>
      <c r="D28" s="1" t="s">
        <v>42</v>
      </c>
      <c r="E28" s="1" t="s">
        <v>13</v>
      </c>
      <c r="F28" s="1" t="s">
        <v>14</v>
      </c>
      <c r="G28" s="1" t="s">
        <v>27</v>
      </c>
      <c r="H28" s="1" t="s">
        <v>29</v>
      </c>
      <c r="I28" s="1">
        <v>5</v>
      </c>
      <c r="J28" s="1">
        <v>0.34426229508196721</v>
      </c>
      <c r="K28" s="1" t="s">
        <v>18</v>
      </c>
      <c r="L28">
        <v>53</v>
      </c>
      <c r="M28">
        <v>40.799999999999997</v>
      </c>
      <c r="N28">
        <v>11.4</v>
      </c>
      <c r="O28">
        <v>7043</v>
      </c>
      <c r="R28" t="s">
        <v>430</v>
      </c>
    </row>
    <row r="29" spans="1:18" x14ac:dyDescent="0.25">
      <c r="A29" s="1" t="s">
        <v>53</v>
      </c>
      <c r="B29" s="1">
        <v>22.151299999999999</v>
      </c>
      <c r="C29" s="1">
        <v>49.435699999999997</v>
      </c>
      <c r="D29" s="1" t="s">
        <v>42</v>
      </c>
      <c r="E29" s="1" t="s">
        <v>13</v>
      </c>
      <c r="F29" s="1" t="s">
        <v>14</v>
      </c>
      <c r="G29" s="1" t="s">
        <v>27</v>
      </c>
      <c r="H29" s="1" t="s">
        <v>41</v>
      </c>
      <c r="I29" s="1">
        <v>5</v>
      </c>
      <c r="J29" s="1">
        <v>0.34426229508196721</v>
      </c>
      <c r="K29" s="1" t="s">
        <v>18</v>
      </c>
      <c r="L29">
        <v>53</v>
      </c>
      <c r="M29">
        <v>40.799999999999997</v>
      </c>
      <c r="N29">
        <v>11.4</v>
      </c>
      <c r="O29">
        <v>7043</v>
      </c>
    </row>
    <row r="30" spans="1:18" x14ac:dyDescent="0.25">
      <c r="A30" s="1" t="s">
        <v>54</v>
      </c>
      <c r="B30" s="2">
        <v>17.5762</v>
      </c>
      <c r="C30" s="2">
        <v>53.687800000000003</v>
      </c>
      <c r="D30" s="1" t="s">
        <v>55</v>
      </c>
      <c r="E30" s="1" t="s">
        <v>56</v>
      </c>
      <c r="F30" s="1" t="s">
        <v>54</v>
      </c>
      <c r="G30" s="1" t="s">
        <v>57</v>
      </c>
      <c r="H30" s="1" t="s">
        <v>54</v>
      </c>
      <c r="I30" s="1">
        <v>2000</v>
      </c>
      <c r="J30" s="3">
        <v>61.166666666666664</v>
      </c>
      <c r="K30" s="1">
        <v>35</v>
      </c>
      <c r="L30">
        <v>20.420000000000002</v>
      </c>
      <c r="M30">
        <v>35.5</v>
      </c>
      <c r="N30">
        <v>16.100000000000001</v>
      </c>
      <c r="O30">
        <v>3125</v>
      </c>
    </row>
    <row r="31" spans="1:18" x14ac:dyDescent="0.25">
      <c r="A31" s="1" t="s">
        <v>58</v>
      </c>
      <c r="B31" s="1">
        <v>17.970099999999999</v>
      </c>
      <c r="C31" s="1">
        <v>53.800600000000003</v>
      </c>
      <c r="D31" s="1" t="s">
        <v>59</v>
      </c>
      <c r="E31" s="1" t="s">
        <v>56</v>
      </c>
      <c r="F31" s="1" t="s">
        <v>54</v>
      </c>
      <c r="G31" s="1" t="s">
        <v>57</v>
      </c>
      <c r="H31" s="1" t="s">
        <v>58</v>
      </c>
      <c r="I31" s="1">
        <v>850</v>
      </c>
      <c r="J31" s="1">
        <v>36.751366120218577</v>
      </c>
      <c r="K31" s="1" t="s">
        <v>60</v>
      </c>
      <c r="L31">
        <v>20.420000000000002</v>
      </c>
      <c r="M31">
        <v>35.5</v>
      </c>
      <c r="N31">
        <v>16.100000000000001</v>
      </c>
      <c r="O31">
        <v>3125</v>
      </c>
    </row>
    <row r="32" spans="1:18" x14ac:dyDescent="0.25">
      <c r="A32" s="1" t="s">
        <v>61</v>
      </c>
      <c r="B32" s="1">
        <v>18.062899999999999</v>
      </c>
      <c r="C32" s="1">
        <v>53.831099999999999</v>
      </c>
      <c r="D32" s="1" t="s">
        <v>62</v>
      </c>
      <c r="E32" s="1" t="s">
        <v>56</v>
      </c>
      <c r="F32" s="1" t="s">
        <v>54</v>
      </c>
      <c r="G32" s="1" t="s">
        <v>57</v>
      </c>
      <c r="H32" s="1" t="s">
        <v>58</v>
      </c>
      <c r="I32" s="1">
        <v>175</v>
      </c>
      <c r="J32" s="1">
        <v>24.510928961748633</v>
      </c>
      <c r="K32" s="1" t="s">
        <v>31</v>
      </c>
      <c r="L32">
        <v>20.420000000000002</v>
      </c>
      <c r="M32">
        <v>35.5</v>
      </c>
      <c r="N32">
        <v>16.100000000000001</v>
      </c>
      <c r="O32">
        <v>3125</v>
      </c>
    </row>
    <row r="33" spans="1:15" x14ac:dyDescent="0.25">
      <c r="A33" s="1" t="s">
        <v>63</v>
      </c>
      <c r="B33" s="1">
        <v>17.772400000000001</v>
      </c>
      <c r="C33" s="1">
        <v>53.760399999999997</v>
      </c>
      <c r="D33" s="1" t="s">
        <v>62</v>
      </c>
      <c r="E33" s="1" t="s">
        <v>56</v>
      </c>
      <c r="F33" s="1" t="s">
        <v>54</v>
      </c>
      <c r="G33" s="1" t="s">
        <v>57</v>
      </c>
      <c r="H33" s="1" t="s">
        <v>58</v>
      </c>
      <c r="I33" s="1">
        <v>125</v>
      </c>
      <c r="J33" s="1">
        <v>22.516393442622952</v>
      </c>
      <c r="K33" s="1" t="s">
        <v>31</v>
      </c>
      <c r="L33">
        <v>20.420000000000002</v>
      </c>
      <c r="M33">
        <v>35.5</v>
      </c>
      <c r="N33">
        <v>16.100000000000001</v>
      </c>
      <c r="O33">
        <v>3125</v>
      </c>
    </row>
    <row r="34" spans="1:15" x14ac:dyDescent="0.25">
      <c r="A34" s="1" t="s">
        <v>64</v>
      </c>
      <c r="B34" s="1">
        <v>17.86</v>
      </c>
      <c r="C34" s="1">
        <v>53.7774</v>
      </c>
      <c r="D34" s="1" t="s">
        <v>62</v>
      </c>
      <c r="E34" s="1" t="s">
        <v>56</v>
      </c>
      <c r="F34" s="1" t="s">
        <v>54</v>
      </c>
      <c r="G34" s="1" t="s">
        <v>57</v>
      </c>
      <c r="H34" s="1" t="s">
        <v>58</v>
      </c>
      <c r="I34" s="1">
        <v>75</v>
      </c>
      <c r="J34" s="1">
        <v>20.516393442622952</v>
      </c>
      <c r="K34" s="1" t="s">
        <v>16</v>
      </c>
      <c r="L34">
        <v>20.420000000000002</v>
      </c>
      <c r="M34">
        <v>35.5</v>
      </c>
      <c r="N34">
        <v>16.100000000000001</v>
      </c>
      <c r="O34">
        <v>3125</v>
      </c>
    </row>
    <row r="35" spans="1:15" x14ac:dyDescent="0.25">
      <c r="A35" s="1" t="s">
        <v>65</v>
      </c>
      <c r="B35" s="1">
        <v>17.728000000000002</v>
      </c>
      <c r="C35" s="1">
        <v>53.8825</v>
      </c>
      <c r="D35" s="1" t="s">
        <v>66</v>
      </c>
      <c r="E35" s="1" t="s">
        <v>56</v>
      </c>
      <c r="F35" s="1" t="s">
        <v>54</v>
      </c>
      <c r="G35" s="1" t="s">
        <v>57</v>
      </c>
      <c r="H35" s="1" t="s">
        <v>65</v>
      </c>
      <c r="I35" s="1">
        <v>75</v>
      </c>
      <c r="J35" s="1">
        <v>7.166666666666667</v>
      </c>
      <c r="K35" s="1" t="s">
        <v>31</v>
      </c>
      <c r="L35">
        <v>20.420000000000002</v>
      </c>
      <c r="M35">
        <v>35.5</v>
      </c>
      <c r="N35">
        <v>16.100000000000001</v>
      </c>
      <c r="O35">
        <v>3125</v>
      </c>
    </row>
    <row r="36" spans="1:15" x14ac:dyDescent="0.25">
      <c r="A36" s="1" t="s">
        <v>67</v>
      </c>
      <c r="B36" s="1">
        <v>17.7258</v>
      </c>
      <c r="C36" s="1">
        <v>53.748399999999997</v>
      </c>
      <c r="D36" s="1" t="s">
        <v>62</v>
      </c>
      <c r="E36" s="1" t="s">
        <v>56</v>
      </c>
      <c r="F36" s="1" t="s">
        <v>54</v>
      </c>
      <c r="G36" s="1" t="s">
        <v>57</v>
      </c>
      <c r="H36" s="1" t="s">
        <v>58</v>
      </c>
      <c r="I36" s="1">
        <v>35</v>
      </c>
      <c r="J36" s="1">
        <v>20.765027322404372</v>
      </c>
      <c r="K36" s="1" t="s">
        <v>18</v>
      </c>
      <c r="L36">
        <v>20.420000000000002</v>
      </c>
      <c r="M36">
        <v>35.5</v>
      </c>
      <c r="N36">
        <v>16.100000000000001</v>
      </c>
      <c r="O36">
        <v>3125</v>
      </c>
    </row>
    <row r="37" spans="1:15" x14ac:dyDescent="0.25">
      <c r="A37" s="1" t="s">
        <v>68</v>
      </c>
      <c r="B37" s="1">
        <v>17.6554</v>
      </c>
      <c r="C37" s="1">
        <v>53.73</v>
      </c>
      <c r="D37" s="1" t="s">
        <v>62</v>
      </c>
      <c r="E37" s="1" t="s">
        <v>56</v>
      </c>
      <c r="F37" s="1" t="s">
        <v>54</v>
      </c>
      <c r="G37" s="1" t="s">
        <v>57</v>
      </c>
      <c r="H37" s="1" t="s">
        <v>54</v>
      </c>
      <c r="I37" s="1">
        <v>35</v>
      </c>
      <c r="J37" s="1">
        <v>20.516393442622952</v>
      </c>
      <c r="K37" s="1" t="s">
        <v>18</v>
      </c>
      <c r="L37">
        <v>20.420000000000002</v>
      </c>
      <c r="M37">
        <v>35.5</v>
      </c>
      <c r="N37">
        <v>16.100000000000001</v>
      </c>
      <c r="O37">
        <v>3125</v>
      </c>
    </row>
    <row r="38" spans="1:15" x14ac:dyDescent="0.25">
      <c r="A38" s="1" t="s">
        <v>69</v>
      </c>
      <c r="B38" s="1">
        <v>17.6934</v>
      </c>
      <c r="C38" s="1">
        <v>53.644100000000002</v>
      </c>
      <c r="D38" s="1" t="s">
        <v>70</v>
      </c>
      <c r="E38" s="1" t="s">
        <v>56</v>
      </c>
      <c r="F38" s="1" t="s">
        <v>54</v>
      </c>
      <c r="G38" s="1" t="s">
        <v>57</v>
      </c>
      <c r="H38" s="1" t="s">
        <v>54</v>
      </c>
      <c r="I38" s="1">
        <v>35</v>
      </c>
      <c r="J38" s="1">
        <v>12</v>
      </c>
      <c r="K38" s="1" t="s">
        <v>18</v>
      </c>
      <c r="L38">
        <v>20.420000000000002</v>
      </c>
      <c r="M38">
        <v>35.5</v>
      </c>
      <c r="N38">
        <v>16.100000000000001</v>
      </c>
      <c r="O38">
        <v>3125</v>
      </c>
    </row>
    <row r="39" spans="1:15" x14ac:dyDescent="0.25">
      <c r="A39" s="1" t="s">
        <v>71</v>
      </c>
      <c r="B39" s="1">
        <v>17.7424</v>
      </c>
      <c r="C39" s="1">
        <v>53.935600000000001</v>
      </c>
      <c r="D39" s="1" t="s">
        <v>66</v>
      </c>
      <c r="E39" s="1" t="s">
        <v>56</v>
      </c>
      <c r="F39" s="1" t="s">
        <v>54</v>
      </c>
      <c r="G39" s="1" t="s">
        <v>57</v>
      </c>
      <c r="H39" s="1" t="s">
        <v>65</v>
      </c>
      <c r="I39" s="1">
        <v>15</v>
      </c>
      <c r="J39" s="1">
        <v>7.1639344262295079</v>
      </c>
      <c r="K39" s="1" t="s">
        <v>16</v>
      </c>
      <c r="L39">
        <v>20.420000000000002</v>
      </c>
      <c r="M39">
        <v>35.5</v>
      </c>
      <c r="N39">
        <v>16.100000000000001</v>
      </c>
      <c r="O39">
        <v>3125</v>
      </c>
    </row>
    <row r="40" spans="1:15" x14ac:dyDescent="0.25">
      <c r="A40" s="1" t="s">
        <v>72</v>
      </c>
      <c r="B40" s="1">
        <v>18.0426</v>
      </c>
      <c r="C40" s="1">
        <v>53.787999999999997</v>
      </c>
      <c r="D40" s="1" t="s">
        <v>73</v>
      </c>
      <c r="E40" s="1" t="s">
        <v>56</v>
      </c>
      <c r="F40" s="1" t="s">
        <v>54</v>
      </c>
      <c r="G40" s="1" t="s">
        <v>57</v>
      </c>
      <c r="H40" s="1" t="s">
        <v>58</v>
      </c>
      <c r="I40" s="1">
        <v>5</v>
      </c>
      <c r="J40" s="1">
        <v>12.237704918032787</v>
      </c>
      <c r="K40" s="1" t="s">
        <v>18</v>
      </c>
      <c r="L40">
        <v>20.420000000000002</v>
      </c>
      <c r="M40">
        <v>35.5</v>
      </c>
      <c r="N40">
        <v>16.100000000000001</v>
      </c>
      <c r="O40">
        <v>3125</v>
      </c>
    </row>
    <row r="41" spans="1:15" x14ac:dyDescent="0.25">
      <c r="A41" s="1" t="s">
        <v>74</v>
      </c>
      <c r="B41" s="1">
        <v>17.654299999999999</v>
      </c>
      <c r="C41" s="1">
        <v>53.667900000000003</v>
      </c>
      <c r="D41" s="1" t="s">
        <v>70</v>
      </c>
      <c r="E41" s="1" t="s">
        <v>56</v>
      </c>
      <c r="F41" s="1" t="s">
        <v>54</v>
      </c>
      <c r="G41" s="1" t="s">
        <v>57</v>
      </c>
      <c r="H41" s="1" t="s">
        <v>54</v>
      </c>
      <c r="I41" s="1">
        <v>5</v>
      </c>
      <c r="J41" s="1">
        <v>11.989071038251366</v>
      </c>
      <c r="K41" s="1" t="s">
        <v>18</v>
      </c>
      <c r="L41">
        <v>20.420000000000002</v>
      </c>
      <c r="M41">
        <v>35.5</v>
      </c>
      <c r="N41">
        <v>16.100000000000001</v>
      </c>
      <c r="O41">
        <v>3125</v>
      </c>
    </row>
    <row r="42" spans="1:15" x14ac:dyDescent="0.25">
      <c r="A42" s="1" t="s">
        <v>75</v>
      </c>
      <c r="B42" s="1">
        <v>17.488099999999999</v>
      </c>
      <c r="C42" s="1">
        <v>53.642000000000003</v>
      </c>
      <c r="D42" s="1" t="s">
        <v>62</v>
      </c>
      <c r="E42" s="1" t="s">
        <v>56</v>
      </c>
      <c r="F42" s="1" t="s">
        <v>54</v>
      </c>
      <c r="G42" s="1" t="s">
        <v>57</v>
      </c>
      <c r="H42" s="1" t="s">
        <v>54</v>
      </c>
      <c r="I42" s="1">
        <v>5</v>
      </c>
      <c r="J42" s="1">
        <v>9.8442622950819665</v>
      </c>
      <c r="K42" s="1" t="s">
        <v>18</v>
      </c>
      <c r="L42">
        <v>20.420000000000002</v>
      </c>
      <c r="M42">
        <v>35.5</v>
      </c>
      <c r="N42">
        <v>16.100000000000001</v>
      </c>
      <c r="O42">
        <v>3125</v>
      </c>
    </row>
    <row r="43" spans="1:15" x14ac:dyDescent="0.25">
      <c r="A43" s="1" t="s">
        <v>76</v>
      </c>
      <c r="B43" s="1">
        <v>17.670999999999999</v>
      </c>
      <c r="C43" s="1">
        <v>53.832299999999996</v>
      </c>
      <c r="D43" s="1" t="s">
        <v>66</v>
      </c>
      <c r="E43" s="1" t="s">
        <v>56</v>
      </c>
      <c r="F43" s="1" t="s">
        <v>54</v>
      </c>
      <c r="G43" s="1" t="s">
        <v>57</v>
      </c>
      <c r="H43" s="1" t="s">
        <v>65</v>
      </c>
      <c r="I43" s="1">
        <v>5</v>
      </c>
      <c r="J43" s="1">
        <v>7.166666666666667</v>
      </c>
      <c r="K43" s="1" t="s">
        <v>18</v>
      </c>
      <c r="L43">
        <v>20.420000000000002</v>
      </c>
      <c r="M43">
        <v>35.5</v>
      </c>
      <c r="N43">
        <v>16.100000000000001</v>
      </c>
      <c r="O43">
        <v>3125</v>
      </c>
    </row>
    <row r="44" spans="1:15" x14ac:dyDescent="0.25">
      <c r="A44" s="1" t="s">
        <v>77</v>
      </c>
      <c r="B44" s="1">
        <v>17.599799999999998</v>
      </c>
      <c r="C44" s="1">
        <v>53.743099999999998</v>
      </c>
      <c r="D44" s="1" t="s">
        <v>66</v>
      </c>
      <c r="E44" s="1" t="s">
        <v>56</v>
      </c>
      <c r="F44" s="1" t="s">
        <v>54</v>
      </c>
      <c r="G44" s="1" t="s">
        <v>57</v>
      </c>
      <c r="H44" s="1" t="s">
        <v>54</v>
      </c>
      <c r="I44" s="1">
        <v>5</v>
      </c>
      <c r="J44" s="1">
        <v>7.1639344262295079</v>
      </c>
      <c r="K44" s="1" t="s">
        <v>18</v>
      </c>
      <c r="L44">
        <v>20.420000000000002</v>
      </c>
      <c r="M44">
        <v>35.5</v>
      </c>
      <c r="N44">
        <v>16.100000000000001</v>
      </c>
      <c r="O44">
        <v>3125</v>
      </c>
    </row>
    <row r="45" spans="1:15" x14ac:dyDescent="0.25">
      <c r="A45" s="1" t="s">
        <v>78</v>
      </c>
      <c r="B45" s="1">
        <v>17.707599999999999</v>
      </c>
      <c r="C45" s="1">
        <v>53.854700000000001</v>
      </c>
      <c r="D45" s="1" t="s">
        <v>66</v>
      </c>
      <c r="E45" s="1" t="s">
        <v>56</v>
      </c>
      <c r="F45" s="1" t="s">
        <v>54</v>
      </c>
      <c r="G45" s="1" t="s">
        <v>57</v>
      </c>
      <c r="H45" s="1" t="s">
        <v>65</v>
      </c>
      <c r="I45" s="1">
        <v>5</v>
      </c>
      <c r="J45" s="1">
        <v>7.1612021857923498</v>
      </c>
      <c r="K45" s="1" t="s">
        <v>18</v>
      </c>
      <c r="L45">
        <v>20.420000000000002</v>
      </c>
      <c r="M45">
        <v>35.5</v>
      </c>
      <c r="N45">
        <v>16.100000000000001</v>
      </c>
      <c r="O45">
        <v>3125</v>
      </c>
    </row>
    <row r="46" spans="1:15" x14ac:dyDescent="0.25">
      <c r="A46" s="1" t="s">
        <v>79</v>
      </c>
      <c r="B46" s="1">
        <v>17.371099999999998</v>
      </c>
      <c r="C46" s="1">
        <v>53.657699999999998</v>
      </c>
      <c r="D46" s="1" t="s">
        <v>80</v>
      </c>
      <c r="E46" s="1" t="s">
        <v>56</v>
      </c>
      <c r="F46" s="1" t="s">
        <v>54</v>
      </c>
      <c r="G46" s="1" t="s">
        <v>81</v>
      </c>
      <c r="H46" s="1" t="s">
        <v>79</v>
      </c>
      <c r="I46" s="1">
        <v>175</v>
      </c>
      <c r="J46" s="1">
        <v>10.087431693989071</v>
      </c>
      <c r="K46" s="1" t="s">
        <v>44</v>
      </c>
      <c r="L46">
        <v>20.420000000000002</v>
      </c>
      <c r="M46">
        <v>35.5</v>
      </c>
      <c r="N46">
        <v>16.100000000000001</v>
      </c>
      <c r="O46">
        <v>3125</v>
      </c>
    </row>
    <row r="47" spans="1:15" x14ac:dyDescent="0.25">
      <c r="A47" s="1" t="s">
        <v>82</v>
      </c>
      <c r="B47" s="1">
        <v>16.937999999999999</v>
      </c>
      <c r="C47" s="1">
        <v>53.68</v>
      </c>
      <c r="D47" s="1" t="s">
        <v>83</v>
      </c>
      <c r="E47" s="1" t="s">
        <v>56</v>
      </c>
      <c r="F47" s="1" t="s">
        <v>54</v>
      </c>
      <c r="G47" s="1" t="s">
        <v>81</v>
      </c>
      <c r="H47" s="1" t="s">
        <v>82</v>
      </c>
      <c r="I47" s="1">
        <v>125</v>
      </c>
      <c r="J47" s="1">
        <v>10.081967213114755</v>
      </c>
      <c r="K47" s="1" t="s">
        <v>28</v>
      </c>
      <c r="L47">
        <v>20.420000000000002</v>
      </c>
      <c r="M47">
        <v>35.5</v>
      </c>
      <c r="N47">
        <v>16.100000000000001</v>
      </c>
      <c r="O47">
        <v>3125</v>
      </c>
    </row>
    <row r="48" spans="1:15" x14ac:dyDescent="0.25">
      <c r="A48" s="1" t="s">
        <v>84</v>
      </c>
      <c r="B48" s="1">
        <v>17.032499999999999</v>
      </c>
      <c r="C48" s="1">
        <v>53.668100000000003</v>
      </c>
      <c r="D48" s="1" t="s">
        <v>83</v>
      </c>
      <c r="E48" s="1" t="s">
        <v>56</v>
      </c>
      <c r="F48" s="1" t="s">
        <v>54</v>
      </c>
      <c r="G48" s="1" t="s">
        <v>81</v>
      </c>
      <c r="H48" s="1" t="s">
        <v>82</v>
      </c>
      <c r="I48" s="1">
        <v>35</v>
      </c>
      <c r="J48" s="1">
        <v>10.076502732240437</v>
      </c>
      <c r="K48" s="1" t="s">
        <v>16</v>
      </c>
      <c r="L48">
        <v>20.420000000000002</v>
      </c>
      <c r="M48">
        <v>35.5</v>
      </c>
      <c r="N48">
        <v>16.100000000000001</v>
      </c>
      <c r="O48">
        <v>3125</v>
      </c>
    </row>
    <row r="49" spans="1:15" x14ac:dyDescent="0.25">
      <c r="A49" s="1" t="s">
        <v>85</v>
      </c>
      <c r="B49" s="1">
        <v>17.447500000000002</v>
      </c>
      <c r="C49" s="1">
        <v>53.618000000000002</v>
      </c>
      <c r="D49" s="1" t="s">
        <v>62</v>
      </c>
      <c r="E49" s="1" t="s">
        <v>56</v>
      </c>
      <c r="F49" s="1" t="s">
        <v>54</v>
      </c>
      <c r="G49" s="1" t="s">
        <v>81</v>
      </c>
      <c r="H49" s="1" t="s">
        <v>79</v>
      </c>
      <c r="I49" s="1">
        <v>35</v>
      </c>
      <c r="J49" s="1">
        <v>9.8469945355191264</v>
      </c>
      <c r="K49" s="1" t="s">
        <v>16</v>
      </c>
      <c r="L49">
        <v>20.420000000000002</v>
      </c>
      <c r="M49">
        <v>35.5</v>
      </c>
      <c r="N49">
        <v>16.100000000000001</v>
      </c>
      <c r="O49">
        <v>3125</v>
      </c>
    </row>
    <row r="50" spans="1:15" x14ac:dyDescent="0.25">
      <c r="A50" s="1" t="s">
        <v>86</v>
      </c>
      <c r="B50" s="1">
        <v>17.128599999999999</v>
      </c>
      <c r="C50" s="1">
        <v>53.660200000000003</v>
      </c>
      <c r="D50" s="1" t="s">
        <v>83</v>
      </c>
      <c r="E50" s="1" t="s">
        <v>56</v>
      </c>
      <c r="F50" s="1" t="s">
        <v>54</v>
      </c>
      <c r="G50" s="1" t="s">
        <v>81</v>
      </c>
      <c r="H50" s="1" t="s">
        <v>82</v>
      </c>
      <c r="I50" s="1">
        <v>15</v>
      </c>
      <c r="J50" s="1">
        <v>10.076502732240437</v>
      </c>
      <c r="K50" s="1" t="s">
        <v>18</v>
      </c>
      <c r="L50">
        <v>20.420000000000002</v>
      </c>
      <c r="M50">
        <v>35.5</v>
      </c>
      <c r="N50">
        <v>16.100000000000001</v>
      </c>
      <c r="O50">
        <v>3125</v>
      </c>
    </row>
    <row r="51" spans="1:15" x14ac:dyDescent="0.25">
      <c r="A51" s="1" t="s">
        <v>87</v>
      </c>
      <c r="B51" s="1">
        <v>17.211600000000001</v>
      </c>
      <c r="C51" s="1">
        <v>53.655099999999997</v>
      </c>
      <c r="D51" s="1" t="s">
        <v>83</v>
      </c>
      <c r="E51" s="1" t="s">
        <v>56</v>
      </c>
      <c r="F51" s="1" t="s">
        <v>54</v>
      </c>
      <c r="G51" s="1" t="s">
        <v>81</v>
      </c>
      <c r="H51" s="1" t="s">
        <v>79</v>
      </c>
      <c r="I51" s="1">
        <v>15</v>
      </c>
      <c r="J51" s="1">
        <v>10.076502732240437</v>
      </c>
      <c r="K51" s="1" t="s">
        <v>18</v>
      </c>
      <c r="L51">
        <v>20.420000000000002</v>
      </c>
      <c r="M51">
        <v>35.5</v>
      </c>
      <c r="N51">
        <v>16.100000000000001</v>
      </c>
      <c r="O51">
        <v>3125</v>
      </c>
    </row>
    <row r="52" spans="1:15" x14ac:dyDescent="0.25">
      <c r="A52" s="1" t="s">
        <v>88</v>
      </c>
      <c r="B52" s="1">
        <v>17.482900000000001</v>
      </c>
      <c r="C52" s="1">
        <v>53.670999999999999</v>
      </c>
      <c r="D52" s="1" t="s">
        <v>83</v>
      </c>
      <c r="E52" s="1" t="s">
        <v>56</v>
      </c>
      <c r="F52" s="1" t="s">
        <v>54</v>
      </c>
      <c r="G52" s="1" t="s">
        <v>81</v>
      </c>
      <c r="H52" s="1" t="s">
        <v>79</v>
      </c>
      <c r="I52" s="1">
        <v>15</v>
      </c>
      <c r="J52" s="1">
        <v>10.076502732240437</v>
      </c>
      <c r="K52" s="1" t="s">
        <v>18</v>
      </c>
      <c r="L52">
        <v>20.420000000000002</v>
      </c>
      <c r="M52">
        <v>35.5</v>
      </c>
      <c r="N52">
        <v>16.100000000000001</v>
      </c>
      <c r="O52">
        <v>3125</v>
      </c>
    </row>
    <row r="53" spans="1:15" x14ac:dyDescent="0.25">
      <c r="A53" s="1" t="s">
        <v>89</v>
      </c>
      <c r="B53" s="1">
        <v>17.371500000000001</v>
      </c>
      <c r="C53" s="1">
        <v>53.573</v>
      </c>
      <c r="D53" s="1" t="s">
        <v>62</v>
      </c>
      <c r="E53" s="1" t="s">
        <v>56</v>
      </c>
      <c r="F53" s="1" t="s">
        <v>54</v>
      </c>
      <c r="G53" s="1" t="s">
        <v>81</v>
      </c>
      <c r="H53" s="1" t="s">
        <v>79</v>
      </c>
      <c r="I53" s="1">
        <v>15</v>
      </c>
      <c r="J53" s="1">
        <v>9.8469945355191264</v>
      </c>
      <c r="K53" s="1" t="s">
        <v>18</v>
      </c>
      <c r="L53">
        <v>20.420000000000002</v>
      </c>
      <c r="M53">
        <v>35.5</v>
      </c>
      <c r="N53">
        <v>16.100000000000001</v>
      </c>
      <c r="O53">
        <v>3125</v>
      </c>
    </row>
    <row r="54" spans="1:15" x14ac:dyDescent="0.25">
      <c r="A54" s="1" t="s">
        <v>90</v>
      </c>
      <c r="B54" s="2">
        <v>18.643999999999998</v>
      </c>
      <c r="C54" s="2">
        <v>54.355800000000002</v>
      </c>
      <c r="D54" s="1" t="s">
        <v>91</v>
      </c>
      <c r="E54" s="1" t="s">
        <v>56</v>
      </c>
      <c r="F54" s="1" t="s">
        <v>92</v>
      </c>
      <c r="G54" s="1" t="s">
        <v>93</v>
      </c>
      <c r="H54" s="1" t="s">
        <v>92</v>
      </c>
      <c r="I54" s="1">
        <v>48300</v>
      </c>
      <c r="J54" s="3">
        <v>372.70218579234972</v>
      </c>
      <c r="K54" s="1">
        <v>130</v>
      </c>
      <c r="L54">
        <v>20.420000000000002</v>
      </c>
      <c r="M54">
        <v>35.5</v>
      </c>
      <c r="N54">
        <v>16.100000000000001</v>
      </c>
      <c r="O54">
        <v>3125</v>
      </c>
    </row>
    <row r="55" spans="1:15" x14ac:dyDescent="0.25">
      <c r="A55" s="1" t="s">
        <v>94</v>
      </c>
      <c r="B55" s="2">
        <v>18.6052</v>
      </c>
      <c r="C55" s="2">
        <v>54.381999999999998</v>
      </c>
      <c r="D55" s="1" t="s">
        <v>95</v>
      </c>
      <c r="E55" s="1" t="s">
        <v>56</v>
      </c>
      <c r="F55" s="1" t="s">
        <v>92</v>
      </c>
      <c r="G55" s="1" t="s">
        <v>93</v>
      </c>
      <c r="H55" s="1" t="s">
        <v>92</v>
      </c>
      <c r="I55" s="1">
        <v>44100</v>
      </c>
      <c r="J55" s="3">
        <v>468.57923497267757</v>
      </c>
      <c r="K55" s="1">
        <v>95</v>
      </c>
      <c r="L55">
        <v>20.420000000000002</v>
      </c>
      <c r="M55">
        <v>35.5</v>
      </c>
      <c r="N55">
        <v>16.100000000000001</v>
      </c>
      <c r="O55">
        <v>3125</v>
      </c>
    </row>
    <row r="56" spans="1:15" x14ac:dyDescent="0.25">
      <c r="A56" s="1" t="s">
        <v>96</v>
      </c>
      <c r="B56" s="2">
        <v>18.571899999999999</v>
      </c>
      <c r="C56" s="2">
        <v>54.409500000000001</v>
      </c>
      <c r="D56" s="1" t="s">
        <v>97</v>
      </c>
      <c r="E56" s="1" t="s">
        <v>56</v>
      </c>
      <c r="F56" s="1" t="s">
        <v>92</v>
      </c>
      <c r="G56" s="1" t="s">
        <v>93</v>
      </c>
      <c r="H56" s="1" t="s">
        <v>92</v>
      </c>
      <c r="I56" s="1">
        <v>17100</v>
      </c>
      <c r="J56" s="3">
        <v>378.37704918032802</v>
      </c>
      <c r="K56" s="1">
        <v>45</v>
      </c>
      <c r="L56">
        <v>20.420000000000002</v>
      </c>
      <c r="M56">
        <v>35.5</v>
      </c>
      <c r="N56">
        <v>16.100000000000001</v>
      </c>
      <c r="O56">
        <v>3125</v>
      </c>
    </row>
    <row r="57" spans="1:15" x14ac:dyDescent="0.25">
      <c r="A57" s="1" t="s">
        <v>98</v>
      </c>
      <c r="B57" s="2">
        <v>18.5765183</v>
      </c>
      <c r="C57" s="2">
        <v>54.400803600000003</v>
      </c>
      <c r="D57" s="1">
        <v>250</v>
      </c>
      <c r="E57" s="1" t="s">
        <v>56</v>
      </c>
      <c r="F57" s="1" t="s">
        <v>92</v>
      </c>
      <c r="G57" s="1" t="s">
        <v>93</v>
      </c>
      <c r="H57" s="1" t="s">
        <v>92</v>
      </c>
      <c r="I57" s="1">
        <v>14000</v>
      </c>
      <c r="J57" s="4">
        <v>190.11475409836066</v>
      </c>
      <c r="K57" s="1">
        <v>75</v>
      </c>
      <c r="L57">
        <v>20.420000000000002</v>
      </c>
      <c r="M57">
        <v>35.5</v>
      </c>
      <c r="N57">
        <v>16.100000000000001</v>
      </c>
      <c r="O57">
        <v>3125</v>
      </c>
    </row>
    <row r="58" spans="1:15" x14ac:dyDescent="0.25">
      <c r="A58" s="1" t="s">
        <v>99</v>
      </c>
      <c r="B58" s="2">
        <v>18.644662499999999</v>
      </c>
      <c r="C58" s="2">
        <v>54.346091999999999</v>
      </c>
      <c r="D58" s="1">
        <v>250</v>
      </c>
      <c r="E58" s="1" t="s">
        <v>56</v>
      </c>
      <c r="F58" s="1" t="s">
        <v>92</v>
      </c>
      <c r="G58" s="1" t="s">
        <v>93</v>
      </c>
      <c r="H58" s="1" t="s">
        <v>92</v>
      </c>
      <c r="I58" s="1">
        <v>11700</v>
      </c>
      <c r="J58" s="3">
        <v>180.41256830601094</v>
      </c>
      <c r="K58" s="1">
        <v>65</v>
      </c>
      <c r="L58">
        <v>20.420000000000002</v>
      </c>
      <c r="M58">
        <v>35.5</v>
      </c>
      <c r="N58">
        <v>16.100000000000001</v>
      </c>
      <c r="O58">
        <v>3125</v>
      </c>
    </row>
    <row r="59" spans="1:15" x14ac:dyDescent="0.25">
      <c r="A59" s="1" t="s">
        <v>100</v>
      </c>
      <c r="B59" s="2">
        <v>18.627222799999998</v>
      </c>
      <c r="C59" s="2">
        <v>54.374277200000002</v>
      </c>
      <c r="D59" s="1">
        <v>250</v>
      </c>
      <c r="E59" s="1" t="s">
        <v>56</v>
      </c>
      <c r="F59" s="1" t="s">
        <v>92</v>
      </c>
      <c r="G59" s="1" t="s">
        <v>93</v>
      </c>
      <c r="H59" s="1" t="s">
        <v>92</v>
      </c>
      <c r="I59" s="1">
        <v>11000</v>
      </c>
      <c r="J59" s="4">
        <v>190.10928961748633</v>
      </c>
      <c r="K59" s="1">
        <v>55</v>
      </c>
      <c r="L59">
        <v>20.420000000000002</v>
      </c>
      <c r="M59">
        <v>35.5</v>
      </c>
      <c r="N59">
        <v>16.100000000000001</v>
      </c>
      <c r="O59">
        <v>3125</v>
      </c>
    </row>
    <row r="60" spans="1:15" x14ac:dyDescent="0.25">
      <c r="A60" s="1" t="s">
        <v>101</v>
      </c>
      <c r="B60" s="2">
        <v>18.591313400000001</v>
      </c>
      <c r="C60" s="2">
        <v>54.389916499999998</v>
      </c>
      <c r="D60" s="1">
        <v>250</v>
      </c>
      <c r="E60" s="1" t="s">
        <v>56</v>
      </c>
      <c r="F60" s="1" t="s">
        <v>92</v>
      </c>
      <c r="G60" s="1" t="s">
        <v>93</v>
      </c>
      <c r="H60" s="1" t="s">
        <v>92</v>
      </c>
      <c r="I60" s="1">
        <v>11000</v>
      </c>
      <c r="J60" s="4">
        <v>190.10928961748633</v>
      </c>
      <c r="K60" s="1">
        <v>55</v>
      </c>
      <c r="L60">
        <v>20.420000000000002</v>
      </c>
      <c r="M60">
        <v>35.5</v>
      </c>
      <c r="N60">
        <v>16.100000000000001</v>
      </c>
      <c r="O60">
        <v>3125</v>
      </c>
    </row>
    <row r="61" spans="1:15" x14ac:dyDescent="0.25">
      <c r="A61" s="1" t="s">
        <v>102</v>
      </c>
      <c r="B61" s="2">
        <v>18.644662499999999</v>
      </c>
      <c r="C61" s="2">
        <v>54.346091999999999</v>
      </c>
      <c r="D61" s="1">
        <v>250</v>
      </c>
      <c r="E61" s="1" t="s">
        <v>56</v>
      </c>
      <c r="F61" s="1" t="s">
        <v>92</v>
      </c>
      <c r="G61" s="1" t="s">
        <v>93</v>
      </c>
      <c r="H61" s="1" t="s">
        <v>92</v>
      </c>
      <c r="I61" s="1">
        <v>9500</v>
      </c>
      <c r="J61" s="4">
        <v>190.11475409836066</v>
      </c>
      <c r="K61" s="1">
        <v>50</v>
      </c>
      <c r="L61">
        <v>20.420000000000002</v>
      </c>
      <c r="M61">
        <v>35.5</v>
      </c>
      <c r="N61">
        <v>16.100000000000001</v>
      </c>
      <c r="O61">
        <v>3125</v>
      </c>
    </row>
    <row r="62" spans="1:15" x14ac:dyDescent="0.25">
      <c r="A62" s="1" t="s">
        <v>103</v>
      </c>
      <c r="B62" s="2">
        <v>18.466633600000002</v>
      </c>
      <c r="C62" s="2">
        <v>54.382581799999997</v>
      </c>
      <c r="D62" s="1">
        <v>250</v>
      </c>
      <c r="E62" s="1" t="s">
        <v>56</v>
      </c>
      <c r="F62" s="1" t="s">
        <v>92</v>
      </c>
      <c r="G62" s="1" t="s">
        <v>93</v>
      </c>
      <c r="H62" s="1" t="s">
        <v>92</v>
      </c>
      <c r="I62" s="1">
        <v>3500</v>
      </c>
      <c r="J62" s="4">
        <v>98.89071038251366</v>
      </c>
      <c r="K62" s="1">
        <v>30</v>
      </c>
      <c r="L62">
        <v>20.420000000000002</v>
      </c>
      <c r="M62">
        <v>35.5</v>
      </c>
      <c r="N62">
        <v>16.100000000000001</v>
      </c>
      <c r="O62">
        <v>3125</v>
      </c>
    </row>
    <row r="63" spans="1:15" x14ac:dyDescent="0.25">
      <c r="A63" s="1" t="s">
        <v>104</v>
      </c>
      <c r="B63" s="2">
        <v>18.642099999999999</v>
      </c>
      <c r="C63" s="2">
        <v>54.364400000000003</v>
      </c>
      <c r="D63" s="1" t="s">
        <v>105</v>
      </c>
      <c r="E63" s="1" t="s">
        <v>56</v>
      </c>
      <c r="F63" s="1" t="s">
        <v>92</v>
      </c>
      <c r="G63" s="1" t="s">
        <v>93</v>
      </c>
      <c r="H63" s="1" t="s">
        <v>92</v>
      </c>
      <c r="I63" s="1">
        <v>2500</v>
      </c>
      <c r="J63" s="4">
        <v>107.19945355191257</v>
      </c>
      <c r="K63" s="1">
        <v>20</v>
      </c>
      <c r="L63">
        <v>20.420000000000002</v>
      </c>
      <c r="M63">
        <v>35.5</v>
      </c>
      <c r="N63">
        <v>16.100000000000001</v>
      </c>
      <c r="O63">
        <v>3125</v>
      </c>
    </row>
    <row r="64" spans="1:15" x14ac:dyDescent="0.25">
      <c r="A64" s="1" t="s">
        <v>106</v>
      </c>
      <c r="B64" s="2">
        <v>18.5495889</v>
      </c>
      <c r="C64" s="2">
        <v>54.353492600000003</v>
      </c>
      <c r="D64" s="1">
        <v>250</v>
      </c>
      <c r="E64" s="1" t="s">
        <v>56</v>
      </c>
      <c r="F64" s="1" t="s">
        <v>92</v>
      </c>
      <c r="G64" s="1" t="s">
        <v>93</v>
      </c>
      <c r="H64" s="1" t="s">
        <v>92</v>
      </c>
      <c r="I64" s="1">
        <v>1250</v>
      </c>
      <c r="J64" s="4">
        <v>108.59836065573771</v>
      </c>
      <c r="K64" s="1">
        <v>10</v>
      </c>
      <c r="L64">
        <v>20.420000000000002</v>
      </c>
      <c r="M64">
        <v>35.5</v>
      </c>
      <c r="N64">
        <v>16.100000000000001</v>
      </c>
      <c r="O64">
        <v>3125</v>
      </c>
    </row>
    <row r="65" spans="1:15" x14ac:dyDescent="0.25">
      <c r="A65" s="1" t="s">
        <v>107</v>
      </c>
      <c r="B65" s="2">
        <v>18.577870099999998</v>
      </c>
      <c r="C65" s="2">
        <v>54.3912871</v>
      </c>
      <c r="D65" s="1">
        <v>250</v>
      </c>
      <c r="E65" s="1" t="s">
        <v>56</v>
      </c>
      <c r="F65" s="1" t="s">
        <v>92</v>
      </c>
      <c r="G65" s="1" t="s">
        <v>93</v>
      </c>
      <c r="H65" s="1" t="s">
        <v>92</v>
      </c>
      <c r="I65" s="1">
        <v>1250</v>
      </c>
      <c r="J65" s="4">
        <v>108.59836065573771</v>
      </c>
      <c r="K65" s="1">
        <v>15</v>
      </c>
      <c r="L65">
        <v>20.420000000000002</v>
      </c>
      <c r="M65">
        <v>35.5</v>
      </c>
      <c r="N65">
        <v>16.100000000000001</v>
      </c>
      <c r="O65">
        <v>3125</v>
      </c>
    </row>
    <row r="66" spans="1:15" x14ac:dyDescent="0.25">
      <c r="A66" s="1" t="s">
        <v>108</v>
      </c>
      <c r="B66" s="2">
        <v>18.5283458</v>
      </c>
      <c r="C66" s="2">
        <v>54.355364600000001</v>
      </c>
      <c r="D66" s="1">
        <v>250</v>
      </c>
      <c r="E66" s="1" t="s">
        <v>56</v>
      </c>
      <c r="F66" s="1" t="s">
        <v>92</v>
      </c>
      <c r="G66" s="1" t="s">
        <v>93</v>
      </c>
      <c r="H66" s="1" t="s">
        <v>92</v>
      </c>
      <c r="I66" s="1">
        <v>1250</v>
      </c>
      <c r="J66" s="4">
        <v>108.59562841530055</v>
      </c>
      <c r="K66" s="1">
        <v>10</v>
      </c>
      <c r="L66">
        <v>20.420000000000002</v>
      </c>
      <c r="M66">
        <v>35.5</v>
      </c>
      <c r="N66">
        <v>16.100000000000001</v>
      </c>
      <c r="O66">
        <v>3125</v>
      </c>
    </row>
    <row r="67" spans="1:15" x14ac:dyDescent="0.25">
      <c r="A67" s="1" t="s">
        <v>109</v>
      </c>
      <c r="B67" s="2">
        <v>18.634499999999999</v>
      </c>
      <c r="C67" s="2">
        <v>54.324300000000001</v>
      </c>
      <c r="D67" s="1" t="s">
        <v>110</v>
      </c>
      <c r="E67" s="1" t="s">
        <v>56</v>
      </c>
      <c r="F67" s="1" t="s">
        <v>92</v>
      </c>
      <c r="G67" s="1" t="s">
        <v>93</v>
      </c>
      <c r="H67" s="1" t="s">
        <v>92</v>
      </c>
      <c r="I67" s="1">
        <v>1250</v>
      </c>
      <c r="J67" s="4">
        <v>80.702185792349724</v>
      </c>
      <c r="K67" s="1">
        <v>15</v>
      </c>
      <c r="L67">
        <v>20.420000000000002</v>
      </c>
      <c r="M67">
        <v>35.5</v>
      </c>
      <c r="N67">
        <v>16.100000000000001</v>
      </c>
      <c r="O67">
        <v>3125</v>
      </c>
    </row>
    <row r="68" spans="1:15" x14ac:dyDescent="0.25">
      <c r="A68" s="1" t="s">
        <v>111</v>
      </c>
      <c r="B68" s="2">
        <v>18.452000000000002</v>
      </c>
      <c r="C68" s="2">
        <v>54.421399999999998</v>
      </c>
      <c r="D68" s="1" t="s">
        <v>112</v>
      </c>
      <c r="E68" s="1" t="s">
        <v>56</v>
      </c>
      <c r="F68" s="1" t="s">
        <v>92</v>
      </c>
      <c r="G68" s="1" t="s">
        <v>93</v>
      </c>
      <c r="H68" s="1" t="s">
        <v>92</v>
      </c>
      <c r="I68" s="1">
        <v>1250</v>
      </c>
      <c r="J68" s="4">
        <v>47.213114754098363</v>
      </c>
      <c r="K68" s="1">
        <v>20</v>
      </c>
      <c r="L68">
        <v>20.420000000000002</v>
      </c>
      <c r="M68">
        <v>35.5</v>
      </c>
      <c r="N68">
        <v>16.100000000000001</v>
      </c>
      <c r="O68">
        <v>3125</v>
      </c>
    </row>
    <row r="69" spans="1:15" x14ac:dyDescent="0.25">
      <c r="A69" s="1" t="s">
        <v>113</v>
      </c>
      <c r="B69" s="1">
        <v>18.4462166</v>
      </c>
      <c r="C69" s="1">
        <v>54.387455099999997</v>
      </c>
      <c r="D69" s="1">
        <v>250</v>
      </c>
      <c r="E69" s="1" t="s">
        <v>56</v>
      </c>
      <c r="F69" s="1" t="s">
        <v>92</v>
      </c>
      <c r="G69" s="1" t="s">
        <v>93</v>
      </c>
      <c r="H69" s="1" t="s">
        <v>92</v>
      </c>
      <c r="I69" s="1">
        <v>850</v>
      </c>
      <c r="J69" s="1">
        <v>92.019125683060111</v>
      </c>
      <c r="K69" s="1" t="s">
        <v>28</v>
      </c>
      <c r="L69">
        <v>20.420000000000002</v>
      </c>
      <c r="M69">
        <v>35.5</v>
      </c>
      <c r="N69">
        <v>16.100000000000001</v>
      </c>
      <c r="O69">
        <v>3125</v>
      </c>
    </row>
    <row r="70" spans="1:15" x14ac:dyDescent="0.25">
      <c r="A70" s="1" t="s">
        <v>114</v>
      </c>
      <c r="B70" s="1">
        <v>18.573385500000001</v>
      </c>
      <c r="C70" s="1">
        <v>54.364600099999997</v>
      </c>
      <c r="D70" s="1">
        <v>250</v>
      </c>
      <c r="E70" s="1" t="s">
        <v>56</v>
      </c>
      <c r="F70" s="1" t="s">
        <v>92</v>
      </c>
      <c r="G70" s="1" t="s">
        <v>93</v>
      </c>
      <c r="H70" s="1" t="s">
        <v>92</v>
      </c>
      <c r="I70" s="1">
        <v>600</v>
      </c>
      <c r="J70" s="1">
        <v>107.97267759562841</v>
      </c>
      <c r="K70" s="1" t="s">
        <v>31</v>
      </c>
      <c r="L70">
        <v>20.420000000000002</v>
      </c>
      <c r="M70">
        <v>35.5</v>
      </c>
      <c r="N70">
        <v>16.100000000000001</v>
      </c>
      <c r="O70">
        <v>3125</v>
      </c>
    </row>
    <row r="71" spans="1:15" x14ac:dyDescent="0.25">
      <c r="A71" s="1" t="s">
        <v>115</v>
      </c>
      <c r="B71" s="1">
        <v>18.5063195</v>
      </c>
      <c r="C71" s="1">
        <v>54.373594099999998</v>
      </c>
      <c r="D71" s="1">
        <v>250</v>
      </c>
      <c r="E71" s="1" t="s">
        <v>56</v>
      </c>
      <c r="F71" s="1" t="s">
        <v>92</v>
      </c>
      <c r="G71" s="1" t="s">
        <v>93</v>
      </c>
      <c r="H71" s="1" t="s">
        <v>92</v>
      </c>
      <c r="I71" s="1">
        <v>600</v>
      </c>
      <c r="J71" s="1">
        <v>98.513661202185787</v>
      </c>
      <c r="K71" s="1" t="s">
        <v>31</v>
      </c>
      <c r="L71">
        <v>20.420000000000002</v>
      </c>
      <c r="M71">
        <v>35.5</v>
      </c>
      <c r="N71">
        <v>16.100000000000001</v>
      </c>
      <c r="O71">
        <v>3125</v>
      </c>
    </row>
    <row r="72" spans="1:15" x14ac:dyDescent="0.25">
      <c r="A72" s="1" t="s">
        <v>116</v>
      </c>
      <c r="B72" s="1">
        <v>18.571792200000001</v>
      </c>
      <c r="C72" s="1">
        <v>54.377586100000002</v>
      </c>
      <c r="D72" s="1">
        <v>250</v>
      </c>
      <c r="E72" s="1" t="s">
        <v>56</v>
      </c>
      <c r="F72" s="1" t="s">
        <v>92</v>
      </c>
      <c r="G72" s="1" t="s">
        <v>93</v>
      </c>
      <c r="H72" s="1" t="s">
        <v>92</v>
      </c>
      <c r="I72" s="1">
        <v>150</v>
      </c>
      <c r="J72" s="1">
        <v>107.97267759562841</v>
      </c>
      <c r="K72" s="1" t="s">
        <v>18</v>
      </c>
      <c r="L72">
        <v>20.420000000000002</v>
      </c>
      <c r="M72">
        <v>35.5</v>
      </c>
      <c r="N72">
        <v>16.100000000000001</v>
      </c>
      <c r="O72">
        <v>3125</v>
      </c>
    </row>
    <row r="73" spans="1:15" x14ac:dyDescent="0.25">
      <c r="A73" s="1" t="s">
        <v>117</v>
      </c>
      <c r="B73" s="1">
        <v>18.487425999999999</v>
      </c>
      <c r="C73" s="1">
        <v>54.378283000000003</v>
      </c>
      <c r="D73" s="1" t="s">
        <v>118</v>
      </c>
      <c r="E73" s="1" t="s">
        <v>56</v>
      </c>
      <c r="F73" s="1" t="s">
        <v>92</v>
      </c>
      <c r="G73" s="1" t="s">
        <v>93</v>
      </c>
      <c r="H73" s="1" t="s">
        <v>92</v>
      </c>
      <c r="I73" s="1">
        <v>150</v>
      </c>
      <c r="J73" s="1">
        <v>98.89071038251366</v>
      </c>
      <c r="K73" s="1" t="s">
        <v>16</v>
      </c>
      <c r="L73">
        <v>20.420000000000002</v>
      </c>
      <c r="M73">
        <v>35.5</v>
      </c>
      <c r="N73">
        <v>16.100000000000001</v>
      </c>
      <c r="O73">
        <v>3125</v>
      </c>
    </row>
    <row r="74" spans="1:15" x14ac:dyDescent="0.25">
      <c r="A74" s="1" t="s">
        <v>119</v>
      </c>
      <c r="B74" s="1">
        <v>18.632522000000002</v>
      </c>
      <c r="C74" s="1">
        <v>54.387085999999996</v>
      </c>
      <c r="D74" s="1" t="s">
        <v>105</v>
      </c>
      <c r="E74" s="1" t="s">
        <v>56</v>
      </c>
      <c r="F74" s="1" t="s">
        <v>92</v>
      </c>
      <c r="G74" s="1" t="s">
        <v>93</v>
      </c>
      <c r="H74" s="1" t="s">
        <v>92</v>
      </c>
      <c r="I74" s="1">
        <v>150</v>
      </c>
      <c r="J74" s="1">
        <v>0.48633879781420764</v>
      </c>
      <c r="K74" s="1" t="s">
        <v>120</v>
      </c>
      <c r="L74">
        <v>20.420000000000002</v>
      </c>
      <c r="M74">
        <v>35.5</v>
      </c>
      <c r="N74">
        <v>16.100000000000001</v>
      </c>
      <c r="O74">
        <v>3125</v>
      </c>
    </row>
    <row r="75" spans="1:15" x14ac:dyDescent="0.25">
      <c r="A75" s="1" t="s">
        <v>121</v>
      </c>
      <c r="B75" s="1">
        <v>18.6355</v>
      </c>
      <c r="C75" s="1">
        <v>54.302599999999998</v>
      </c>
      <c r="D75" s="1" t="s">
        <v>110</v>
      </c>
      <c r="E75" s="1" t="s">
        <v>56</v>
      </c>
      <c r="F75" s="1" t="s">
        <v>92</v>
      </c>
      <c r="G75" s="1" t="s">
        <v>93</v>
      </c>
      <c r="H75" s="1" t="s">
        <v>92</v>
      </c>
      <c r="I75" s="1">
        <v>125</v>
      </c>
      <c r="J75" s="1">
        <v>33.879781420765028</v>
      </c>
      <c r="K75" s="1" t="s">
        <v>16</v>
      </c>
      <c r="L75">
        <v>20.420000000000002</v>
      </c>
      <c r="M75">
        <v>35.5</v>
      </c>
      <c r="N75">
        <v>16.100000000000001</v>
      </c>
      <c r="O75">
        <v>3125</v>
      </c>
    </row>
    <row r="76" spans="1:15" x14ac:dyDescent="0.25">
      <c r="A76" s="1" t="s">
        <v>122</v>
      </c>
      <c r="B76" s="1">
        <v>54.362321999999999</v>
      </c>
      <c r="C76" s="1">
        <v>18.492369</v>
      </c>
      <c r="D76" s="1" t="s">
        <v>123</v>
      </c>
      <c r="E76" s="1" t="s">
        <v>124</v>
      </c>
      <c r="F76" s="1" t="s">
        <v>92</v>
      </c>
      <c r="G76" s="1" t="s">
        <v>93</v>
      </c>
      <c r="H76" s="1" t="s">
        <v>92</v>
      </c>
      <c r="I76" s="1">
        <v>35</v>
      </c>
      <c r="J76" s="1">
        <v>9.7049180327868854</v>
      </c>
      <c r="K76" s="1" t="s">
        <v>16</v>
      </c>
      <c r="L76">
        <v>20.420000000000002</v>
      </c>
      <c r="M76">
        <v>35.5</v>
      </c>
      <c r="N76">
        <v>16.100000000000001</v>
      </c>
      <c r="O76">
        <v>3125</v>
      </c>
    </row>
    <row r="77" spans="1:15" x14ac:dyDescent="0.25">
      <c r="A77" s="1" t="s">
        <v>125</v>
      </c>
      <c r="B77" s="2">
        <v>18.646799999999999</v>
      </c>
      <c r="C77" s="2">
        <v>54.258600000000001</v>
      </c>
      <c r="D77" s="1" t="s">
        <v>126</v>
      </c>
      <c r="E77" s="1" t="s">
        <v>56</v>
      </c>
      <c r="F77" s="1" t="s">
        <v>92</v>
      </c>
      <c r="G77" s="1" t="s">
        <v>127</v>
      </c>
      <c r="H77" s="1" t="s">
        <v>125</v>
      </c>
      <c r="I77" s="1">
        <v>5500</v>
      </c>
      <c r="J77" s="4">
        <v>92.592896174863384</v>
      </c>
      <c r="K77" s="1">
        <v>60</v>
      </c>
      <c r="L77">
        <v>20.420000000000002</v>
      </c>
      <c r="M77">
        <v>35.5</v>
      </c>
      <c r="N77">
        <v>16.100000000000001</v>
      </c>
      <c r="O77">
        <v>3125</v>
      </c>
    </row>
    <row r="78" spans="1:15" x14ac:dyDescent="0.25">
      <c r="A78" s="1" t="s">
        <v>128</v>
      </c>
      <c r="B78" s="2">
        <v>18.701799999999999</v>
      </c>
      <c r="C78" s="2">
        <v>54.174500000000002</v>
      </c>
      <c r="D78" s="1" t="s">
        <v>129</v>
      </c>
      <c r="E78" s="1" t="s">
        <v>56</v>
      </c>
      <c r="F78" s="1" t="s">
        <v>92</v>
      </c>
      <c r="G78" s="1" t="s">
        <v>127</v>
      </c>
      <c r="H78" s="1" t="s">
        <v>128</v>
      </c>
      <c r="I78" s="1">
        <v>1750</v>
      </c>
      <c r="J78" s="4">
        <v>69.685792349726782</v>
      </c>
      <c r="K78" s="1">
        <v>25</v>
      </c>
      <c r="L78">
        <v>20.420000000000002</v>
      </c>
      <c r="M78">
        <v>35.5</v>
      </c>
      <c r="N78">
        <v>16.100000000000001</v>
      </c>
      <c r="O78">
        <v>3125</v>
      </c>
    </row>
    <row r="79" spans="1:15" x14ac:dyDescent="0.25">
      <c r="A79" s="1" t="s">
        <v>130</v>
      </c>
      <c r="B79" s="2">
        <v>18.647600000000001</v>
      </c>
      <c r="C79" s="2">
        <v>54.234400000000001</v>
      </c>
      <c r="D79" s="1" t="s">
        <v>131</v>
      </c>
      <c r="E79" s="1" t="s">
        <v>56</v>
      </c>
      <c r="F79" s="1" t="s">
        <v>92</v>
      </c>
      <c r="G79" s="1" t="s">
        <v>127</v>
      </c>
      <c r="H79" s="1" t="s">
        <v>125</v>
      </c>
      <c r="I79" s="1">
        <v>1250</v>
      </c>
      <c r="J79" s="4">
        <v>39.300546448087431</v>
      </c>
      <c r="K79" s="1">
        <v>30</v>
      </c>
      <c r="L79">
        <v>20.420000000000002</v>
      </c>
      <c r="M79">
        <v>35.5</v>
      </c>
      <c r="N79">
        <v>16.100000000000001</v>
      </c>
      <c r="O79">
        <v>3125</v>
      </c>
    </row>
    <row r="80" spans="1:15" x14ac:dyDescent="0.25">
      <c r="A80" s="1" t="s">
        <v>132</v>
      </c>
      <c r="B80" s="1">
        <v>18.6615</v>
      </c>
      <c r="C80" s="1">
        <v>54.212200000000003</v>
      </c>
      <c r="D80" s="1" t="s">
        <v>131</v>
      </c>
      <c r="E80" s="1" t="s">
        <v>56</v>
      </c>
      <c r="F80" s="1" t="s">
        <v>92</v>
      </c>
      <c r="G80" s="1" t="s">
        <v>127</v>
      </c>
      <c r="H80" s="1" t="s">
        <v>128</v>
      </c>
      <c r="I80" s="1">
        <v>400</v>
      </c>
      <c r="J80" s="1">
        <v>37.688524590163937</v>
      </c>
      <c r="K80" s="1" t="s">
        <v>28</v>
      </c>
      <c r="L80">
        <v>20.420000000000002</v>
      </c>
      <c r="M80">
        <v>35.5</v>
      </c>
      <c r="N80">
        <v>16.100000000000001</v>
      </c>
      <c r="O80">
        <v>3125</v>
      </c>
    </row>
    <row r="81" spans="1:15" x14ac:dyDescent="0.25">
      <c r="A81" s="1" t="s">
        <v>133</v>
      </c>
      <c r="B81" s="1">
        <v>18.683399999999999</v>
      </c>
      <c r="C81" s="1">
        <v>54.1843</v>
      </c>
      <c r="D81" s="1" t="s">
        <v>131</v>
      </c>
      <c r="E81" s="1" t="s">
        <v>56</v>
      </c>
      <c r="F81" s="1" t="s">
        <v>92</v>
      </c>
      <c r="G81" s="1" t="s">
        <v>127</v>
      </c>
      <c r="H81" s="1" t="s">
        <v>128</v>
      </c>
      <c r="I81" s="1">
        <v>150</v>
      </c>
      <c r="J81" s="1">
        <v>37.688524590163937</v>
      </c>
      <c r="K81" s="1" t="s">
        <v>31</v>
      </c>
      <c r="L81">
        <v>20.420000000000002</v>
      </c>
      <c r="M81">
        <v>35.5</v>
      </c>
      <c r="N81">
        <v>16.100000000000001</v>
      </c>
      <c r="O81">
        <v>3125</v>
      </c>
    </row>
    <row r="82" spans="1:15" x14ac:dyDescent="0.25">
      <c r="A82" s="1" t="s">
        <v>134</v>
      </c>
      <c r="B82" s="2">
        <v>18.206099999999999</v>
      </c>
      <c r="C82" s="2">
        <v>54.334000000000003</v>
      </c>
      <c r="D82" s="1" t="s">
        <v>135</v>
      </c>
      <c r="E82" s="1" t="s">
        <v>56</v>
      </c>
      <c r="F82" s="1" t="s">
        <v>92</v>
      </c>
      <c r="G82" s="1" t="s">
        <v>136</v>
      </c>
      <c r="H82" s="1" t="s">
        <v>134</v>
      </c>
      <c r="I82" s="1">
        <v>2500</v>
      </c>
      <c r="J82" s="4">
        <v>45.289617486338798</v>
      </c>
      <c r="K82" s="1">
        <v>60</v>
      </c>
      <c r="L82">
        <v>20.420000000000002</v>
      </c>
      <c r="M82">
        <v>35.5</v>
      </c>
      <c r="N82">
        <v>16.100000000000001</v>
      </c>
      <c r="O82">
        <v>3125</v>
      </c>
    </row>
    <row r="83" spans="1:15" x14ac:dyDescent="0.25">
      <c r="A83" s="1" t="s">
        <v>137</v>
      </c>
      <c r="B83" s="2">
        <v>18.361999999999998</v>
      </c>
      <c r="C83" s="2">
        <v>54.3444</v>
      </c>
      <c r="D83" s="1" t="s">
        <v>138</v>
      </c>
      <c r="E83" s="1" t="s">
        <v>56</v>
      </c>
      <c r="F83" s="1" t="s">
        <v>92</v>
      </c>
      <c r="G83" s="1" t="s">
        <v>136</v>
      </c>
      <c r="H83" s="1" t="s">
        <v>137</v>
      </c>
      <c r="I83" s="1">
        <v>1250</v>
      </c>
      <c r="J83" s="4">
        <v>56.147540983606561</v>
      </c>
      <c r="K83" s="1">
        <v>25</v>
      </c>
      <c r="L83">
        <v>20.420000000000002</v>
      </c>
      <c r="M83">
        <v>35.5</v>
      </c>
      <c r="N83">
        <v>16.100000000000001</v>
      </c>
      <c r="O83">
        <v>3125</v>
      </c>
    </row>
    <row r="84" spans="1:15" x14ac:dyDescent="0.25">
      <c r="A84" s="1" t="s">
        <v>139</v>
      </c>
      <c r="B84" s="1">
        <v>18.3734</v>
      </c>
      <c r="C84" s="1">
        <v>54.348599999999998</v>
      </c>
      <c r="D84" s="1" t="s">
        <v>138</v>
      </c>
      <c r="E84" s="1" t="s">
        <v>56</v>
      </c>
      <c r="F84" s="1" t="s">
        <v>92</v>
      </c>
      <c r="G84" s="1" t="s">
        <v>136</v>
      </c>
      <c r="H84" s="1" t="s">
        <v>137</v>
      </c>
      <c r="I84" s="1">
        <v>850</v>
      </c>
      <c r="J84" s="1">
        <v>56.161202185792348</v>
      </c>
      <c r="K84" s="1" t="s">
        <v>28</v>
      </c>
      <c r="L84">
        <v>20.420000000000002</v>
      </c>
      <c r="M84">
        <v>35.5</v>
      </c>
      <c r="N84">
        <v>16.100000000000001</v>
      </c>
      <c r="O84">
        <v>3125</v>
      </c>
    </row>
    <row r="85" spans="1:15" x14ac:dyDescent="0.25">
      <c r="A85" s="1" t="s">
        <v>140</v>
      </c>
      <c r="B85" s="1">
        <v>18.401700000000002</v>
      </c>
      <c r="C85" s="1">
        <v>54.366900000000001</v>
      </c>
      <c r="D85" s="1" t="s">
        <v>138</v>
      </c>
      <c r="E85" s="1" t="s">
        <v>56</v>
      </c>
      <c r="F85" s="1" t="s">
        <v>92</v>
      </c>
      <c r="G85" s="1" t="s">
        <v>136</v>
      </c>
      <c r="H85" s="1" t="s">
        <v>137</v>
      </c>
      <c r="I85" s="1">
        <v>850</v>
      </c>
      <c r="J85" s="1">
        <v>56.150273224043715</v>
      </c>
      <c r="K85" s="1" t="s">
        <v>28</v>
      </c>
      <c r="L85">
        <v>20.420000000000002</v>
      </c>
      <c r="M85">
        <v>35.5</v>
      </c>
      <c r="N85">
        <v>16.100000000000001</v>
      </c>
      <c r="O85">
        <v>3125</v>
      </c>
    </row>
    <row r="86" spans="1:15" x14ac:dyDescent="0.25">
      <c r="A86" s="1" t="s">
        <v>141</v>
      </c>
      <c r="B86" s="1">
        <v>18.421099999999999</v>
      </c>
      <c r="C86" s="1">
        <v>54.388399999999997</v>
      </c>
      <c r="D86" s="1" t="s">
        <v>138</v>
      </c>
      <c r="E86" s="1" t="s">
        <v>56</v>
      </c>
      <c r="F86" s="1" t="s">
        <v>92</v>
      </c>
      <c r="G86" s="1" t="s">
        <v>136</v>
      </c>
      <c r="H86" s="1" t="s">
        <v>137</v>
      </c>
      <c r="I86" s="1">
        <v>600</v>
      </c>
      <c r="J86" s="1">
        <v>56.155737704918032</v>
      </c>
      <c r="K86" s="1" t="s">
        <v>31</v>
      </c>
      <c r="L86">
        <v>20.420000000000002</v>
      </c>
      <c r="M86">
        <v>35.5</v>
      </c>
      <c r="N86">
        <v>16.100000000000001</v>
      </c>
      <c r="O86">
        <v>3125</v>
      </c>
    </row>
    <row r="87" spans="1:15" x14ac:dyDescent="0.25">
      <c r="A87" s="1" t="s">
        <v>142</v>
      </c>
      <c r="B87" s="1">
        <v>18.333500000000001</v>
      </c>
      <c r="C87" s="1">
        <v>54.333399999999997</v>
      </c>
      <c r="D87" s="1" t="s">
        <v>138</v>
      </c>
      <c r="E87" s="1" t="s">
        <v>56</v>
      </c>
      <c r="F87" s="1" t="s">
        <v>92</v>
      </c>
      <c r="G87" s="1" t="s">
        <v>136</v>
      </c>
      <c r="H87" s="1" t="s">
        <v>137</v>
      </c>
      <c r="I87" s="1">
        <v>600</v>
      </c>
      <c r="J87" s="1">
        <v>56.147540983606561</v>
      </c>
      <c r="K87" s="1" t="s">
        <v>31</v>
      </c>
      <c r="L87">
        <v>20.420000000000002</v>
      </c>
      <c r="M87">
        <v>35.5</v>
      </c>
      <c r="N87">
        <v>16.100000000000001</v>
      </c>
      <c r="O87">
        <v>3125</v>
      </c>
    </row>
    <row r="88" spans="1:15" x14ac:dyDescent="0.25">
      <c r="A88" s="1" t="s">
        <v>143</v>
      </c>
      <c r="B88" s="1">
        <v>18.2636</v>
      </c>
      <c r="C88" s="1">
        <v>54.315300000000001</v>
      </c>
      <c r="D88" s="1" t="s">
        <v>144</v>
      </c>
      <c r="E88" s="1" t="s">
        <v>56</v>
      </c>
      <c r="F88" s="1" t="s">
        <v>92</v>
      </c>
      <c r="G88" s="1" t="s">
        <v>136</v>
      </c>
      <c r="H88" s="1" t="s">
        <v>134</v>
      </c>
      <c r="I88" s="1">
        <v>400</v>
      </c>
      <c r="J88" s="1">
        <v>45.289617486338798</v>
      </c>
      <c r="K88" s="1" t="s">
        <v>31</v>
      </c>
      <c r="L88">
        <v>20.420000000000002</v>
      </c>
      <c r="M88">
        <v>35.5</v>
      </c>
      <c r="N88">
        <v>16.100000000000001</v>
      </c>
      <c r="O88">
        <v>3125</v>
      </c>
    </row>
    <row r="89" spans="1:15" x14ac:dyDescent="0.25">
      <c r="A89" s="1" t="s">
        <v>145</v>
      </c>
      <c r="B89" s="1">
        <v>18.037299999999998</v>
      </c>
      <c r="C89" s="1">
        <v>54.212699999999998</v>
      </c>
      <c r="D89" s="1" t="s">
        <v>138</v>
      </c>
      <c r="E89" s="1" t="s">
        <v>56</v>
      </c>
      <c r="F89" s="1" t="s">
        <v>92</v>
      </c>
      <c r="G89" s="1" t="s">
        <v>136</v>
      </c>
      <c r="H89" s="1" t="s">
        <v>146</v>
      </c>
      <c r="I89" s="1">
        <v>400</v>
      </c>
      <c r="J89" s="1">
        <v>20.568306010928961</v>
      </c>
      <c r="K89" s="1" t="s">
        <v>60</v>
      </c>
      <c r="L89">
        <v>20.420000000000002</v>
      </c>
      <c r="M89">
        <v>35.5</v>
      </c>
      <c r="N89">
        <v>16.100000000000001</v>
      </c>
      <c r="O89">
        <v>3125</v>
      </c>
    </row>
    <row r="90" spans="1:15" x14ac:dyDescent="0.25">
      <c r="A90" s="1" t="s">
        <v>147</v>
      </c>
      <c r="B90" s="1">
        <v>18.193000000000001</v>
      </c>
      <c r="C90" s="1">
        <v>54.27</v>
      </c>
      <c r="D90" s="1" t="s">
        <v>148</v>
      </c>
      <c r="E90" s="1" t="s">
        <v>56</v>
      </c>
      <c r="F90" s="1" t="s">
        <v>92</v>
      </c>
      <c r="G90" s="1" t="s">
        <v>136</v>
      </c>
      <c r="H90" s="1" t="s">
        <v>147</v>
      </c>
      <c r="I90" s="1">
        <v>400</v>
      </c>
      <c r="J90" s="1">
        <v>20.565573770491802</v>
      </c>
      <c r="K90" s="1" t="s">
        <v>44</v>
      </c>
      <c r="L90">
        <v>20.420000000000002</v>
      </c>
      <c r="M90">
        <v>35.5</v>
      </c>
      <c r="N90">
        <v>16.100000000000001</v>
      </c>
      <c r="O90">
        <v>3125</v>
      </c>
    </row>
    <row r="91" spans="1:15" x14ac:dyDescent="0.25">
      <c r="A91" s="1" t="s">
        <v>149</v>
      </c>
      <c r="B91" s="1">
        <v>18.231300000000001</v>
      </c>
      <c r="C91" s="1">
        <v>54.287199999999999</v>
      </c>
      <c r="D91" s="1" t="s">
        <v>138</v>
      </c>
      <c r="E91" s="1" t="s">
        <v>56</v>
      </c>
      <c r="F91" s="1" t="s">
        <v>92</v>
      </c>
      <c r="G91" s="1" t="s">
        <v>136</v>
      </c>
      <c r="H91" s="1" t="s">
        <v>134</v>
      </c>
      <c r="I91" s="1">
        <v>400</v>
      </c>
      <c r="J91" s="1">
        <v>20.557377049180328</v>
      </c>
      <c r="K91" s="1" t="s">
        <v>44</v>
      </c>
      <c r="L91">
        <v>20.420000000000002</v>
      </c>
      <c r="M91">
        <v>35.5</v>
      </c>
      <c r="N91">
        <v>16.100000000000001</v>
      </c>
      <c r="O91">
        <v>3125</v>
      </c>
    </row>
    <row r="92" spans="1:15" x14ac:dyDescent="0.25">
      <c r="A92" s="1" t="s">
        <v>150</v>
      </c>
      <c r="B92" s="1">
        <v>18.127400000000002</v>
      </c>
      <c r="C92" s="1">
        <v>54.2346</v>
      </c>
      <c r="D92" s="1" t="s">
        <v>138</v>
      </c>
      <c r="E92" s="1" t="s">
        <v>56</v>
      </c>
      <c r="F92" s="1" t="s">
        <v>92</v>
      </c>
      <c r="G92" s="1" t="s">
        <v>136</v>
      </c>
      <c r="H92" s="1" t="s">
        <v>146</v>
      </c>
      <c r="I92" s="1">
        <v>125</v>
      </c>
      <c r="J92" s="1">
        <v>20.565573770491802</v>
      </c>
      <c r="K92" s="1" t="s">
        <v>31</v>
      </c>
      <c r="L92">
        <v>20.420000000000002</v>
      </c>
      <c r="M92">
        <v>35.5</v>
      </c>
      <c r="N92">
        <v>16.100000000000001</v>
      </c>
      <c r="O92">
        <v>3125</v>
      </c>
    </row>
    <row r="93" spans="1:15" x14ac:dyDescent="0.25">
      <c r="A93" s="1" t="s">
        <v>151</v>
      </c>
      <c r="B93" s="1">
        <v>54.326520000000002</v>
      </c>
      <c r="C93" s="1">
        <v>18.412876000000001</v>
      </c>
      <c r="D93" s="1" t="s">
        <v>144</v>
      </c>
      <c r="E93" s="1" t="s">
        <v>124</v>
      </c>
      <c r="F93" s="1" t="s">
        <v>92</v>
      </c>
      <c r="G93" s="1" t="s">
        <v>136</v>
      </c>
      <c r="H93" s="1" t="s">
        <v>137</v>
      </c>
      <c r="I93" s="1">
        <v>125</v>
      </c>
      <c r="J93" s="1">
        <v>9.7021857923497272</v>
      </c>
      <c r="K93" s="1" t="s">
        <v>28</v>
      </c>
      <c r="L93">
        <v>20.420000000000002</v>
      </c>
      <c r="M93">
        <v>35.5</v>
      </c>
      <c r="N93">
        <v>16.100000000000001</v>
      </c>
      <c r="O93">
        <v>3125</v>
      </c>
    </row>
    <row r="94" spans="1:15" x14ac:dyDescent="0.25">
      <c r="A94" s="1" t="s">
        <v>152</v>
      </c>
      <c r="B94" s="1">
        <v>18.176100000000002</v>
      </c>
      <c r="C94" s="1">
        <v>54.257199999999997</v>
      </c>
      <c r="D94" s="1" t="s">
        <v>138</v>
      </c>
      <c r="E94" s="1" t="s">
        <v>56</v>
      </c>
      <c r="F94" s="1" t="s">
        <v>92</v>
      </c>
      <c r="G94" s="1" t="s">
        <v>136</v>
      </c>
      <c r="H94" s="1" t="s">
        <v>147</v>
      </c>
      <c r="I94" s="1">
        <v>75</v>
      </c>
      <c r="J94" s="1">
        <v>20.565573770491802</v>
      </c>
      <c r="K94" s="1" t="s">
        <v>16</v>
      </c>
      <c r="L94">
        <v>20.420000000000002</v>
      </c>
      <c r="M94">
        <v>35.5</v>
      </c>
      <c r="N94">
        <v>16.100000000000001</v>
      </c>
      <c r="O94">
        <v>3125</v>
      </c>
    </row>
    <row r="95" spans="1:15" x14ac:dyDescent="0.25">
      <c r="A95" s="1" t="s">
        <v>153</v>
      </c>
      <c r="B95" s="1">
        <v>18.089099999999998</v>
      </c>
      <c r="C95" s="1">
        <v>54.235700000000001</v>
      </c>
      <c r="D95" s="1" t="s">
        <v>138</v>
      </c>
      <c r="E95" s="1" t="s">
        <v>56</v>
      </c>
      <c r="F95" s="1" t="s">
        <v>92</v>
      </c>
      <c r="G95" s="1" t="s">
        <v>136</v>
      </c>
      <c r="H95" s="1" t="s">
        <v>146</v>
      </c>
      <c r="I95" s="1">
        <v>75</v>
      </c>
      <c r="J95" s="1">
        <v>20.560109289617486</v>
      </c>
      <c r="K95" s="1" t="s">
        <v>16</v>
      </c>
      <c r="L95">
        <v>20.420000000000002</v>
      </c>
      <c r="M95">
        <v>35.5</v>
      </c>
      <c r="N95">
        <v>16.100000000000001</v>
      </c>
      <c r="O95">
        <v>3125</v>
      </c>
    </row>
    <row r="96" spans="1:15" x14ac:dyDescent="0.25">
      <c r="A96" s="1" t="s">
        <v>154</v>
      </c>
      <c r="B96" s="1">
        <v>54.347867000000001</v>
      </c>
      <c r="C96" s="1">
        <v>18.459419</v>
      </c>
      <c r="D96" s="1" t="s">
        <v>123</v>
      </c>
      <c r="E96" s="1" t="s">
        <v>124</v>
      </c>
      <c r="F96" s="1" t="s">
        <v>92</v>
      </c>
      <c r="G96" s="1" t="s">
        <v>136</v>
      </c>
      <c r="H96" s="1" t="s">
        <v>137</v>
      </c>
      <c r="I96" s="1">
        <v>35</v>
      </c>
      <c r="J96" s="1">
        <v>9.7021857923497272</v>
      </c>
      <c r="K96" s="1" t="s">
        <v>16</v>
      </c>
      <c r="L96">
        <v>20.420000000000002</v>
      </c>
      <c r="M96">
        <v>35.5</v>
      </c>
      <c r="N96">
        <v>16.100000000000001</v>
      </c>
      <c r="O96">
        <v>3125</v>
      </c>
    </row>
    <row r="97" spans="1:15" x14ac:dyDescent="0.25">
      <c r="A97" s="8" t="s">
        <v>155</v>
      </c>
      <c r="B97" s="8">
        <v>54.330587000000001</v>
      </c>
      <c r="C97" s="8">
        <v>18.376697</v>
      </c>
      <c r="D97" s="8" t="s">
        <v>144</v>
      </c>
      <c r="E97" s="8" t="s">
        <v>124</v>
      </c>
      <c r="F97" s="1" t="s">
        <v>92</v>
      </c>
      <c r="G97" s="8" t="s">
        <v>136</v>
      </c>
      <c r="H97" s="8" t="s">
        <v>137</v>
      </c>
      <c r="I97" s="8">
        <v>35</v>
      </c>
      <c r="J97" s="8">
        <v>9.7021857923497272</v>
      </c>
      <c r="K97" s="8" t="s">
        <v>16</v>
      </c>
      <c r="L97">
        <v>20.420000000000002</v>
      </c>
      <c r="M97">
        <v>35.5</v>
      </c>
      <c r="N97">
        <v>16.100000000000001</v>
      </c>
      <c r="O97">
        <v>3125</v>
      </c>
    </row>
    <row r="98" spans="1:15" x14ac:dyDescent="0.25">
      <c r="A98" s="1" t="s">
        <v>156</v>
      </c>
      <c r="B98" s="1">
        <v>54.332504999999998</v>
      </c>
      <c r="C98" s="1">
        <v>18.347670999999998</v>
      </c>
      <c r="D98" s="1" t="s">
        <v>144</v>
      </c>
      <c r="E98" s="1" t="s">
        <v>124</v>
      </c>
      <c r="F98" s="1" t="s">
        <v>92</v>
      </c>
      <c r="G98" s="1" t="s">
        <v>136</v>
      </c>
      <c r="H98" s="1" t="s">
        <v>137</v>
      </c>
      <c r="I98" s="1">
        <v>35</v>
      </c>
      <c r="J98" s="1">
        <v>9.7021857923497272</v>
      </c>
      <c r="K98" s="1" t="s">
        <v>16</v>
      </c>
      <c r="L98">
        <v>20.420000000000002</v>
      </c>
      <c r="M98">
        <v>35.5</v>
      </c>
      <c r="N98">
        <v>16.100000000000001</v>
      </c>
      <c r="O98">
        <v>3125</v>
      </c>
    </row>
    <row r="99" spans="1:15" x14ac:dyDescent="0.25">
      <c r="A99" s="1" t="s">
        <v>157</v>
      </c>
      <c r="B99" s="2">
        <v>19.801400000000001</v>
      </c>
      <c r="C99" s="2">
        <v>50.070999999999998</v>
      </c>
      <c r="D99" s="1" t="s">
        <v>158</v>
      </c>
      <c r="E99" s="1" t="s">
        <v>159</v>
      </c>
      <c r="F99" s="1" t="s">
        <v>160</v>
      </c>
      <c r="G99" s="1" t="s">
        <v>161</v>
      </c>
      <c r="H99" s="1" t="s">
        <v>162</v>
      </c>
      <c r="I99" s="1">
        <v>7000</v>
      </c>
      <c r="J99" s="4">
        <v>70.584699453551906</v>
      </c>
      <c r="K99" s="1">
        <v>100</v>
      </c>
      <c r="L99">
        <v>20.420000000000002</v>
      </c>
      <c r="M99">
        <v>35.5</v>
      </c>
      <c r="N99">
        <v>16.100000000000001</v>
      </c>
      <c r="O99">
        <v>3125</v>
      </c>
    </row>
    <row r="100" spans="1:15" x14ac:dyDescent="0.25">
      <c r="A100" s="1" t="s">
        <v>163</v>
      </c>
      <c r="B100" s="2">
        <v>19.632200000000001</v>
      </c>
      <c r="C100" s="2">
        <v>50.130899999999997</v>
      </c>
      <c r="D100" s="1" t="s">
        <v>164</v>
      </c>
      <c r="E100" s="1" t="s">
        <v>159</v>
      </c>
      <c r="F100" s="1" t="s">
        <v>160</v>
      </c>
      <c r="G100" s="1" t="s">
        <v>161</v>
      </c>
      <c r="H100" s="1" t="s">
        <v>163</v>
      </c>
      <c r="I100" s="1">
        <v>3600</v>
      </c>
      <c r="J100" s="3">
        <v>122.69672131147541</v>
      </c>
      <c r="K100" s="1">
        <v>30</v>
      </c>
      <c r="L100">
        <v>20.420000000000002</v>
      </c>
      <c r="M100">
        <v>35.5</v>
      </c>
      <c r="N100">
        <v>16.100000000000001</v>
      </c>
      <c r="O100">
        <v>3125</v>
      </c>
    </row>
    <row r="101" spans="1:15" x14ac:dyDescent="0.25">
      <c r="A101" s="1" t="s">
        <v>165</v>
      </c>
      <c r="B101" s="2">
        <v>19.821899999999999</v>
      </c>
      <c r="C101" s="2">
        <v>49.9771</v>
      </c>
      <c r="D101" s="1" t="s">
        <v>166</v>
      </c>
      <c r="E101" s="1" t="s">
        <v>159</v>
      </c>
      <c r="F101" s="1" t="s">
        <v>160</v>
      </c>
      <c r="G101" s="1" t="s">
        <v>161</v>
      </c>
      <c r="H101" s="1" t="s">
        <v>165</v>
      </c>
      <c r="I101" s="1">
        <v>1800</v>
      </c>
      <c r="J101" s="3">
        <v>68.806010928961754</v>
      </c>
      <c r="K101" s="1">
        <v>25</v>
      </c>
      <c r="L101">
        <v>20.420000000000002</v>
      </c>
      <c r="M101">
        <v>35.5</v>
      </c>
      <c r="N101">
        <v>16.100000000000001</v>
      </c>
      <c r="O101">
        <v>3125</v>
      </c>
    </row>
    <row r="102" spans="1:15" x14ac:dyDescent="0.25">
      <c r="A102" s="1" t="s">
        <v>162</v>
      </c>
      <c r="B102" s="2">
        <v>19.799299999999999</v>
      </c>
      <c r="C102" s="2">
        <v>50.117600000000003</v>
      </c>
      <c r="D102" s="1" t="s">
        <v>164</v>
      </c>
      <c r="E102" s="1" t="s">
        <v>159</v>
      </c>
      <c r="F102" s="1" t="s">
        <v>160</v>
      </c>
      <c r="G102" s="1" t="s">
        <v>161</v>
      </c>
      <c r="H102" s="1" t="s">
        <v>162</v>
      </c>
      <c r="I102" s="1">
        <v>1200</v>
      </c>
      <c r="J102" s="3">
        <v>84.158469945355193</v>
      </c>
      <c r="K102" s="1">
        <v>15</v>
      </c>
      <c r="L102">
        <v>20.420000000000002</v>
      </c>
      <c r="M102">
        <v>35.5</v>
      </c>
      <c r="N102">
        <v>16.100000000000001</v>
      </c>
      <c r="O102">
        <v>3125</v>
      </c>
    </row>
    <row r="103" spans="1:15" x14ac:dyDescent="0.25">
      <c r="A103" s="1" t="s">
        <v>167</v>
      </c>
      <c r="B103" s="1">
        <v>19.7193</v>
      </c>
      <c r="C103" s="1">
        <v>50.1188</v>
      </c>
      <c r="D103" s="1" t="s">
        <v>164</v>
      </c>
      <c r="E103" s="1" t="s">
        <v>159</v>
      </c>
      <c r="F103" s="1" t="s">
        <v>160</v>
      </c>
      <c r="G103" s="1" t="s">
        <v>161</v>
      </c>
      <c r="H103" s="1" t="s">
        <v>162</v>
      </c>
      <c r="I103" s="1">
        <v>600</v>
      </c>
      <c r="J103" s="1">
        <v>67.418032786885249</v>
      </c>
      <c r="K103" s="1" t="s">
        <v>28</v>
      </c>
      <c r="L103">
        <v>20.420000000000002</v>
      </c>
      <c r="M103">
        <v>35.5</v>
      </c>
      <c r="N103">
        <v>16.100000000000001</v>
      </c>
      <c r="O103">
        <v>3125</v>
      </c>
    </row>
    <row r="104" spans="1:15" x14ac:dyDescent="0.25">
      <c r="A104" s="1" t="s">
        <v>168</v>
      </c>
      <c r="B104" s="1">
        <v>19.577300000000001</v>
      </c>
      <c r="C104" s="1">
        <v>50.130800000000001</v>
      </c>
      <c r="D104" s="1" t="s">
        <v>164</v>
      </c>
      <c r="E104" s="1" t="s">
        <v>159</v>
      </c>
      <c r="F104" s="1" t="s">
        <v>160</v>
      </c>
      <c r="G104" s="1" t="s">
        <v>161</v>
      </c>
      <c r="H104" s="1" t="s">
        <v>163</v>
      </c>
      <c r="I104" s="1">
        <v>600</v>
      </c>
      <c r="J104" s="1">
        <v>65.811475409836063</v>
      </c>
      <c r="K104" s="1" t="s">
        <v>31</v>
      </c>
      <c r="L104">
        <v>20.420000000000002</v>
      </c>
      <c r="M104">
        <v>35.5</v>
      </c>
      <c r="N104">
        <v>16.100000000000001</v>
      </c>
      <c r="O104">
        <v>3125</v>
      </c>
    </row>
    <row r="105" spans="1:15" x14ac:dyDescent="0.25">
      <c r="A105" s="1" t="s">
        <v>169</v>
      </c>
      <c r="B105" s="1">
        <v>20.095400000000001</v>
      </c>
      <c r="C105" s="1">
        <v>50.146700000000003</v>
      </c>
      <c r="D105" s="1" t="s">
        <v>170</v>
      </c>
      <c r="E105" s="1" t="s">
        <v>159</v>
      </c>
      <c r="F105" s="1" t="s">
        <v>160</v>
      </c>
      <c r="G105" s="1" t="s">
        <v>161</v>
      </c>
      <c r="H105" s="1" t="s">
        <v>171</v>
      </c>
      <c r="I105" s="1">
        <v>400</v>
      </c>
      <c r="J105" s="1">
        <v>41.030054644808743</v>
      </c>
      <c r="K105" s="1" t="s">
        <v>31</v>
      </c>
      <c r="L105">
        <v>20.420000000000002</v>
      </c>
      <c r="M105">
        <v>35.5</v>
      </c>
      <c r="N105">
        <v>16.100000000000001</v>
      </c>
      <c r="O105">
        <v>3125</v>
      </c>
    </row>
    <row r="106" spans="1:15" x14ac:dyDescent="0.25">
      <c r="A106" s="1" t="s">
        <v>172</v>
      </c>
      <c r="B106" s="1">
        <v>20.074400000000001</v>
      </c>
      <c r="C106" s="1">
        <v>50.162700000000001</v>
      </c>
      <c r="D106" s="1" t="s">
        <v>170</v>
      </c>
      <c r="E106" s="1" t="s">
        <v>159</v>
      </c>
      <c r="F106" s="1" t="s">
        <v>160</v>
      </c>
      <c r="G106" s="1" t="s">
        <v>161</v>
      </c>
      <c r="H106" s="1" t="s">
        <v>171</v>
      </c>
      <c r="I106" s="1">
        <v>400</v>
      </c>
      <c r="J106" s="1">
        <v>41.030054644808743</v>
      </c>
      <c r="K106" s="1" t="s">
        <v>31</v>
      </c>
      <c r="L106">
        <v>20.420000000000002</v>
      </c>
      <c r="M106">
        <v>35.5</v>
      </c>
      <c r="N106">
        <v>16.100000000000001</v>
      </c>
      <c r="O106">
        <v>3125</v>
      </c>
    </row>
    <row r="107" spans="1:15" x14ac:dyDescent="0.25">
      <c r="A107" s="1" t="s">
        <v>173</v>
      </c>
      <c r="B107" s="1">
        <v>20.0641</v>
      </c>
      <c r="C107" s="1">
        <v>50.2483</v>
      </c>
      <c r="D107" s="1" t="s">
        <v>170</v>
      </c>
      <c r="E107" s="1" t="s">
        <v>159</v>
      </c>
      <c r="F107" s="1" t="s">
        <v>160</v>
      </c>
      <c r="G107" s="1" t="s">
        <v>161</v>
      </c>
      <c r="H107" s="1" t="s">
        <v>173</v>
      </c>
      <c r="I107" s="1">
        <v>400</v>
      </c>
      <c r="J107" s="1">
        <v>41.027322404371581</v>
      </c>
      <c r="K107" s="1" t="s">
        <v>28</v>
      </c>
      <c r="L107">
        <v>20.420000000000002</v>
      </c>
      <c r="M107">
        <v>35.5</v>
      </c>
      <c r="N107">
        <v>16.100000000000001</v>
      </c>
      <c r="O107">
        <v>3125</v>
      </c>
    </row>
    <row r="108" spans="1:15" x14ac:dyDescent="0.25">
      <c r="A108" s="1" t="s">
        <v>174</v>
      </c>
      <c r="B108" s="1">
        <v>20.0609</v>
      </c>
      <c r="C108" s="1">
        <v>50.185000000000002</v>
      </c>
      <c r="D108" s="1" t="s">
        <v>170</v>
      </c>
      <c r="E108" s="1" t="s">
        <v>159</v>
      </c>
      <c r="F108" s="1" t="s">
        <v>160</v>
      </c>
      <c r="G108" s="1" t="s">
        <v>161</v>
      </c>
      <c r="H108" s="1" t="s">
        <v>171</v>
      </c>
      <c r="I108" s="1">
        <v>175</v>
      </c>
      <c r="J108" s="1">
        <v>41.030054644808743</v>
      </c>
      <c r="K108" s="1" t="s">
        <v>16</v>
      </c>
      <c r="L108">
        <v>20.420000000000002</v>
      </c>
      <c r="M108">
        <v>35.5</v>
      </c>
      <c r="N108">
        <v>16.100000000000001</v>
      </c>
      <c r="O108">
        <v>3125</v>
      </c>
    </row>
    <row r="109" spans="1:15" x14ac:dyDescent="0.25">
      <c r="A109" s="1" t="s">
        <v>175</v>
      </c>
      <c r="B109" s="1">
        <v>20.0764</v>
      </c>
      <c r="C109" s="1">
        <v>50.235799999999998</v>
      </c>
      <c r="D109" s="1" t="s">
        <v>170</v>
      </c>
      <c r="E109" s="1" t="s">
        <v>159</v>
      </c>
      <c r="F109" s="1" t="s">
        <v>160</v>
      </c>
      <c r="G109" s="1" t="s">
        <v>161</v>
      </c>
      <c r="H109" s="1" t="s">
        <v>173</v>
      </c>
      <c r="I109" s="1">
        <v>175</v>
      </c>
      <c r="J109" s="1">
        <v>41.030054644808743</v>
      </c>
      <c r="K109" s="1" t="s">
        <v>16</v>
      </c>
      <c r="L109">
        <v>20.420000000000002</v>
      </c>
      <c r="M109">
        <v>35.5</v>
      </c>
      <c r="N109">
        <v>16.100000000000001</v>
      </c>
      <c r="O109">
        <v>3125</v>
      </c>
    </row>
    <row r="110" spans="1:15" x14ac:dyDescent="0.25">
      <c r="A110" s="1" t="s">
        <v>176</v>
      </c>
      <c r="B110" s="1">
        <v>19.710899999999999</v>
      </c>
      <c r="C110" s="1">
        <v>49.959499999999998</v>
      </c>
      <c r="D110" s="1" t="s">
        <v>177</v>
      </c>
      <c r="E110" s="1" t="s">
        <v>159</v>
      </c>
      <c r="F110" s="1" t="s">
        <v>160</v>
      </c>
      <c r="G110" s="1" t="s">
        <v>161</v>
      </c>
      <c r="H110" s="1" t="s">
        <v>165</v>
      </c>
      <c r="I110" s="1">
        <v>175</v>
      </c>
      <c r="J110" s="1">
        <v>37.931693989071036</v>
      </c>
      <c r="K110" s="1" t="s">
        <v>31</v>
      </c>
      <c r="L110">
        <v>20.420000000000002</v>
      </c>
      <c r="M110">
        <v>35.5</v>
      </c>
      <c r="N110">
        <v>16.100000000000001</v>
      </c>
      <c r="O110">
        <v>3125</v>
      </c>
    </row>
    <row r="111" spans="1:15" x14ac:dyDescent="0.25">
      <c r="A111" s="1" t="s">
        <v>178</v>
      </c>
      <c r="B111" s="1">
        <v>19.841469</v>
      </c>
      <c r="C111" s="1">
        <v>49.981261000000003</v>
      </c>
      <c r="D111" s="1">
        <v>94</v>
      </c>
      <c r="E111" s="1" t="s">
        <v>159</v>
      </c>
      <c r="F111" s="1" t="s">
        <v>160</v>
      </c>
      <c r="G111" s="1" t="s">
        <v>161</v>
      </c>
      <c r="H111" s="1" t="s">
        <v>165</v>
      </c>
      <c r="I111" s="1">
        <v>150</v>
      </c>
      <c r="J111" s="1">
        <v>68.352459016393439</v>
      </c>
      <c r="K111" s="1" t="s">
        <v>16</v>
      </c>
      <c r="L111">
        <v>20.420000000000002</v>
      </c>
      <c r="M111">
        <v>35.5</v>
      </c>
      <c r="N111">
        <v>16.100000000000001</v>
      </c>
      <c r="O111">
        <v>3125</v>
      </c>
    </row>
    <row r="112" spans="1:15" x14ac:dyDescent="0.25">
      <c r="A112" s="1" t="s">
        <v>179</v>
      </c>
      <c r="B112" s="1">
        <v>50.105632</v>
      </c>
      <c r="C112" s="1">
        <v>19.823620999999999</v>
      </c>
      <c r="D112" s="1" t="s">
        <v>164</v>
      </c>
      <c r="E112" s="1" t="s">
        <v>180</v>
      </c>
      <c r="F112" s="1" t="s">
        <v>160</v>
      </c>
      <c r="G112" s="1" t="s">
        <v>161</v>
      </c>
      <c r="H112" s="1" t="s">
        <v>162</v>
      </c>
      <c r="I112" s="1">
        <v>150</v>
      </c>
      <c r="J112" s="1">
        <v>67.513661202185787</v>
      </c>
      <c r="K112" s="1" t="s">
        <v>16</v>
      </c>
      <c r="L112">
        <v>20.420000000000002</v>
      </c>
      <c r="M112">
        <v>35.5</v>
      </c>
      <c r="N112">
        <v>16.100000000000001</v>
      </c>
      <c r="O112">
        <v>3125</v>
      </c>
    </row>
    <row r="113" spans="1:15" x14ac:dyDescent="0.25">
      <c r="A113" s="1" t="s">
        <v>181</v>
      </c>
      <c r="B113" s="1">
        <v>19.9955</v>
      </c>
      <c r="C113" s="1">
        <v>50.107500000000002</v>
      </c>
      <c r="D113" s="1" t="s">
        <v>182</v>
      </c>
      <c r="E113" s="1" t="s">
        <v>159</v>
      </c>
      <c r="F113" s="1" t="s">
        <v>160</v>
      </c>
      <c r="G113" s="1" t="s">
        <v>161</v>
      </c>
      <c r="H113" s="1" t="s">
        <v>183</v>
      </c>
      <c r="I113" s="1">
        <v>150</v>
      </c>
      <c r="J113" s="1">
        <v>46.396174863387976</v>
      </c>
      <c r="K113" s="1" t="s">
        <v>16</v>
      </c>
      <c r="L113">
        <v>20.420000000000002</v>
      </c>
      <c r="M113">
        <v>35.5</v>
      </c>
      <c r="N113">
        <v>16.100000000000001</v>
      </c>
      <c r="O113">
        <v>3125</v>
      </c>
    </row>
    <row r="114" spans="1:15" x14ac:dyDescent="0.25">
      <c r="A114" s="1" t="s">
        <v>184</v>
      </c>
      <c r="B114" s="1">
        <v>20.081499999999998</v>
      </c>
      <c r="C114" s="1">
        <v>50.205800000000004</v>
      </c>
      <c r="D114" s="1" t="s">
        <v>170</v>
      </c>
      <c r="E114" s="1" t="s">
        <v>159</v>
      </c>
      <c r="F114" s="1" t="s">
        <v>160</v>
      </c>
      <c r="G114" s="1" t="s">
        <v>161</v>
      </c>
      <c r="H114" s="1" t="s">
        <v>173</v>
      </c>
      <c r="I114" s="1">
        <v>150</v>
      </c>
      <c r="J114" s="1">
        <v>41.035519125683059</v>
      </c>
      <c r="K114" s="1" t="s">
        <v>31</v>
      </c>
      <c r="L114">
        <v>20.420000000000002</v>
      </c>
      <c r="M114">
        <v>35.5</v>
      </c>
      <c r="N114">
        <v>16.100000000000001</v>
      </c>
      <c r="O114">
        <v>3125</v>
      </c>
    </row>
    <row r="115" spans="1:15" x14ac:dyDescent="0.25">
      <c r="A115" s="1" t="s">
        <v>185</v>
      </c>
      <c r="B115" s="1">
        <v>20.046600000000002</v>
      </c>
      <c r="C115" s="1">
        <v>50.274700000000003</v>
      </c>
      <c r="D115" s="1" t="s">
        <v>170</v>
      </c>
      <c r="E115" s="1" t="s">
        <v>159</v>
      </c>
      <c r="F115" s="1" t="s">
        <v>160</v>
      </c>
      <c r="G115" s="1" t="s">
        <v>161</v>
      </c>
      <c r="H115" s="1" t="s">
        <v>173</v>
      </c>
      <c r="I115" s="1">
        <v>125</v>
      </c>
      <c r="J115" s="1">
        <v>39.959016393442624</v>
      </c>
      <c r="K115" s="1" t="s">
        <v>16</v>
      </c>
      <c r="L115">
        <v>20.420000000000002</v>
      </c>
      <c r="M115">
        <v>35.5</v>
      </c>
      <c r="N115">
        <v>16.100000000000001</v>
      </c>
      <c r="O115">
        <v>3125</v>
      </c>
    </row>
    <row r="116" spans="1:15" x14ac:dyDescent="0.25">
      <c r="A116" s="1" t="s">
        <v>186</v>
      </c>
      <c r="B116" s="1">
        <v>19.6752</v>
      </c>
      <c r="C116" s="1">
        <v>49.961799999999997</v>
      </c>
      <c r="D116" s="1" t="s">
        <v>177</v>
      </c>
      <c r="E116" s="1" t="s">
        <v>159</v>
      </c>
      <c r="F116" s="1" t="s">
        <v>160</v>
      </c>
      <c r="G116" s="1" t="s">
        <v>161</v>
      </c>
      <c r="H116" s="1" t="s">
        <v>165</v>
      </c>
      <c r="I116" s="1">
        <v>125</v>
      </c>
      <c r="J116" s="1">
        <v>37.934426229508198</v>
      </c>
      <c r="K116" s="1" t="s">
        <v>16</v>
      </c>
      <c r="L116">
        <v>20.420000000000002</v>
      </c>
      <c r="M116">
        <v>35.5</v>
      </c>
      <c r="N116">
        <v>16.100000000000001</v>
      </c>
      <c r="O116">
        <v>3125</v>
      </c>
    </row>
    <row r="117" spans="1:15" x14ac:dyDescent="0.25">
      <c r="A117" s="1" t="s">
        <v>187</v>
      </c>
      <c r="B117" s="1">
        <v>19.772300000000001</v>
      </c>
      <c r="C117" s="1">
        <v>49.9664</v>
      </c>
      <c r="D117" s="1" t="s">
        <v>177</v>
      </c>
      <c r="E117" s="1" t="s">
        <v>159</v>
      </c>
      <c r="F117" s="1" t="s">
        <v>160</v>
      </c>
      <c r="G117" s="1" t="s">
        <v>161</v>
      </c>
      <c r="H117" s="1" t="s">
        <v>165</v>
      </c>
      <c r="I117" s="1">
        <v>125</v>
      </c>
      <c r="J117" s="1">
        <v>37.931693989071036</v>
      </c>
      <c r="K117" s="1" t="s">
        <v>16</v>
      </c>
      <c r="L117">
        <v>20.420000000000002</v>
      </c>
      <c r="M117">
        <v>35.5</v>
      </c>
      <c r="N117">
        <v>16.100000000000001</v>
      </c>
      <c r="O117">
        <v>3125</v>
      </c>
    </row>
    <row r="118" spans="1:15" x14ac:dyDescent="0.25">
      <c r="A118" s="1" t="s">
        <v>188</v>
      </c>
      <c r="B118" s="1">
        <v>19.746017999999999</v>
      </c>
      <c r="C118" s="1">
        <v>49.961074000000004</v>
      </c>
      <c r="D118" s="1" t="s">
        <v>189</v>
      </c>
      <c r="E118" s="1" t="s">
        <v>159</v>
      </c>
      <c r="F118" s="1" t="s">
        <v>160</v>
      </c>
      <c r="G118" s="1" t="s">
        <v>161</v>
      </c>
      <c r="H118" s="1" t="s">
        <v>165</v>
      </c>
      <c r="I118" s="1">
        <v>125</v>
      </c>
      <c r="J118" s="1">
        <v>37.931693989071036</v>
      </c>
      <c r="K118" s="1" t="s">
        <v>16</v>
      </c>
      <c r="L118">
        <v>20.420000000000002</v>
      </c>
      <c r="M118">
        <v>35.5</v>
      </c>
      <c r="N118">
        <v>16.100000000000001</v>
      </c>
      <c r="O118">
        <v>3125</v>
      </c>
    </row>
    <row r="119" spans="1:15" x14ac:dyDescent="0.25">
      <c r="A119" s="1" t="s">
        <v>190</v>
      </c>
      <c r="B119" s="1">
        <v>20.064800000000002</v>
      </c>
      <c r="C119" s="1">
        <v>50.121600000000001</v>
      </c>
      <c r="D119" s="1" t="s">
        <v>170</v>
      </c>
      <c r="E119" s="1" t="s">
        <v>159</v>
      </c>
      <c r="F119" s="1" t="s">
        <v>160</v>
      </c>
      <c r="G119" s="1" t="s">
        <v>161</v>
      </c>
      <c r="H119" s="1" t="s">
        <v>171</v>
      </c>
      <c r="I119" s="1">
        <v>75</v>
      </c>
      <c r="J119" s="1">
        <v>41.032786885245905</v>
      </c>
      <c r="K119" s="1" t="s">
        <v>16</v>
      </c>
      <c r="L119">
        <v>20.420000000000002</v>
      </c>
      <c r="M119">
        <v>35.5</v>
      </c>
      <c r="N119">
        <v>16.100000000000001</v>
      </c>
      <c r="O119">
        <v>3125</v>
      </c>
    </row>
    <row r="120" spans="1:15" x14ac:dyDescent="0.25">
      <c r="A120" s="1" t="s">
        <v>191</v>
      </c>
      <c r="B120" s="1">
        <v>19.800599999999999</v>
      </c>
      <c r="C120" s="1">
        <v>49.973100000000002</v>
      </c>
      <c r="D120" s="1" t="s">
        <v>177</v>
      </c>
      <c r="E120" s="1" t="s">
        <v>159</v>
      </c>
      <c r="F120" s="1" t="s">
        <v>160</v>
      </c>
      <c r="G120" s="1" t="s">
        <v>161</v>
      </c>
      <c r="H120" s="1" t="s">
        <v>165</v>
      </c>
      <c r="I120" s="1">
        <v>75</v>
      </c>
      <c r="J120" s="1">
        <v>37.931693989071036</v>
      </c>
      <c r="K120" s="1" t="s">
        <v>16</v>
      </c>
      <c r="L120">
        <v>20.420000000000002</v>
      </c>
      <c r="M120">
        <v>35.5</v>
      </c>
      <c r="N120">
        <v>16.100000000000001</v>
      </c>
      <c r="O120">
        <v>3125</v>
      </c>
    </row>
    <row r="121" spans="1:15" x14ac:dyDescent="0.25">
      <c r="A121" s="1" t="s">
        <v>192</v>
      </c>
      <c r="B121" s="1">
        <v>19.809200000000001</v>
      </c>
      <c r="C121" s="1">
        <v>49.918300000000002</v>
      </c>
      <c r="D121" s="1" t="s">
        <v>193</v>
      </c>
      <c r="E121" s="1" t="s">
        <v>159</v>
      </c>
      <c r="F121" s="1" t="s">
        <v>160</v>
      </c>
      <c r="G121" s="1" t="s">
        <v>161</v>
      </c>
      <c r="H121" s="1" t="s">
        <v>165</v>
      </c>
      <c r="I121" s="1">
        <v>75</v>
      </c>
      <c r="J121" s="1">
        <v>30.423497267759561</v>
      </c>
      <c r="K121" s="1" t="s">
        <v>16</v>
      </c>
      <c r="L121">
        <v>20.420000000000002</v>
      </c>
      <c r="M121">
        <v>35.5</v>
      </c>
      <c r="N121">
        <v>16.100000000000001</v>
      </c>
      <c r="O121">
        <v>3125</v>
      </c>
    </row>
    <row r="122" spans="1:15" x14ac:dyDescent="0.25">
      <c r="A122" s="1" t="s">
        <v>194</v>
      </c>
      <c r="B122" s="1">
        <v>19.808</v>
      </c>
      <c r="C122" s="1">
        <v>49.935805999999999</v>
      </c>
      <c r="D122" s="1">
        <v>97</v>
      </c>
      <c r="E122" s="1" t="s">
        <v>159</v>
      </c>
      <c r="F122" s="1" t="s">
        <v>160</v>
      </c>
      <c r="G122" s="1" t="s">
        <v>161</v>
      </c>
      <c r="H122" s="1" t="s">
        <v>165</v>
      </c>
      <c r="I122" s="1">
        <v>75</v>
      </c>
      <c r="J122" s="1">
        <v>30.412568306010929</v>
      </c>
      <c r="K122" s="1" t="s">
        <v>18</v>
      </c>
      <c r="L122">
        <v>20.420000000000002</v>
      </c>
      <c r="M122">
        <v>35.5</v>
      </c>
      <c r="N122">
        <v>16.100000000000001</v>
      </c>
      <c r="O122">
        <v>3125</v>
      </c>
    </row>
    <row r="123" spans="1:15" x14ac:dyDescent="0.25">
      <c r="A123" s="1" t="s">
        <v>195</v>
      </c>
      <c r="B123" s="1">
        <v>19.804400000000001</v>
      </c>
      <c r="C123" s="1">
        <v>49.945500000000003</v>
      </c>
      <c r="D123" s="1" t="s">
        <v>193</v>
      </c>
      <c r="E123" s="1" t="s">
        <v>159</v>
      </c>
      <c r="F123" s="1" t="s">
        <v>160</v>
      </c>
      <c r="G123" s="1" t="s">
        <v>161</v>
      </c>
      <c r="H123" s="1" t="s">
        <v>165</v>
      </c>
      <c r="I123" s="1">
        <v>75</v>
      </c>
      <c r="J123" s="1">
        <v>30.412568306010929</v>
      </c>
      <c r="K123" s="1" t="s">
        <v>16</v>
      </c>
      <c r="L123">
        <v>20.420000000000002</v>
      </c>
      <c r="M123">
        <v>35.5</v>
      </c>
      <c r="N123">
        <v>16.100000000000001</v>
      </c>
      <c r="O123">
        <v>3125</v>
      </c>
    </row>
    <row r="124" spans="1:15" x14ac:dyDescent="0.25">
      <c r="A124" s="1" t="s">
        <v>196</v>
      </c>
      <c r="B124" s="1">
        <v>19.778300000000002</v>
      </c>
      <c r="C124" s="1">
        <v>49.906999999999996</v>
      </c>
      <c r="D124" s="1" t="s">
        <v>193</v>
      </c>
      <c r="E124" s="1" t="s">
        <v>159</v>
      </c>
      <c r="F124" s="1" t="s">
        <v>160</v>
      </c>
      <c r="G124" s="1" t="s">
        <v>161</v>
      </c>
      <c r="H124" s="1" t="s">
        <v>165</v>
      </c>
      <c r="I124" s="1">
        <v>75</v>
      </c>
      <c r="J124" s="1">
        <v>30.412568306010929</v>
      </c>
      <c r="K124" s="1" t="s">
        <v>16</v>
      </c>
      <c r="L124">
        <v>20.420000000000002</v>
      </c>
      <c r="M124">
        <v>35.5</v>
      </c>
      <c r="N124">
        <v>16.100000000000001</v>
      </c>
      <c r="O124">
        <v>3125</v>
      </c>
    </row>
    <row r="125" spans="1:15" x14ac:dyDescent="0.25">
      <c r="A125" s="1" t="s">
        <v>197</v>
      </c>
      <c r="B125" s="1">
        <v>19.794774</v>
      </c>
      <c r="C125" s="1">
        <v>49.910643999999998</v>
      </c>
      <c r="D125" s="1" t="s">
        <v>198</v>
      </c>
      <c r="E125" s="1" t="s">
        <v>159</v>
      </c>
      <c r="F125" s="1" t="s">
        <v>160</v>
      </c>
      <c r="G125" s="1" t="s">
        <v>161</v>
      </c>
      <c r="H125" s="1" t="s">
        <v>165</v>
      </c>
      <c r="I125" s="1">
        <v>75</v>
      </c>
      <c r="J125" s="1">
        <v>30.412568306010929</v>
      </c>
      <c r="K125" s="1" t="s">
        <v>18</v>
      </c>
      <c r="L125">
        <v>20.420000000000002</v>
      </c>
      <c r="M125">
        <v>35.5</v>
      </c>
      <c r="N125">
        <v>16.100000000000001</v>
      </c>
      <c r="O125">
        <v>3125</v>
      </c>
    </row>
    <row r="126" spans="1:15" x14ac:dyDescent="0.25">
      <c r="A126" s="1" t="s">
        <v>199</v>
      </c>
      <c r="B126" s="1">
        <v>19.803343000000002</v>
      </c>
      <c r="C126" s="1">
        <v>49.957819000000001</v>
      </c>
      <c r="D126" s="1" t="s">
        <v>198</v>
      </c>
      <c r="E126" s="1" t="s">
        <v>159</v>
      </c>
      <c r="F126" s="1" t="s">
        <v>160</v>
      </c>
      <c r="G126" s="1" t="s">
        <v>161</v>
      </c>
      <c r="H126" s="1" t="s">
        <v>165</v>
      </c>
      <c r="I126" s="1">
        <v>35</v>
      </c>
      <c r="J126" s="1">
        <v>30.412568306010929</v>
      </c>
      <c r="K126" s="1" t="s">
        <v>18</v>
      </c>
      <c r="L126">
        <v>20.420000000000002</v>
      </c>
      <c r="M126">
        <v>35.5</v>
      </c>
      <c r="N126">
        <v>16.100000000000001</v>
      </c>
      <c r="O126">
        <v>3125</v>
      </c>
    </row>
    <row r="127" spans="1:15" x14ac:dyDescent="0.25">
      <c r="A127" s="1" t="s">
        <v>200</v>
      </c>
      <c r="B127" s="1">
        <v>50.106982000000002</v>
      </c>
      <c r="C127" s="1">
        <v>20.014106999999999</v>
      </c>
      <c r="D127" s="1" t="s">
        <v>201</v>
      </c>
      <c r="E127" s="1" t="s">
        <v>180</v>
      </c>
      <c r="F127" s="1" t="s">
        <v>160</v>
      </c>
      <c r="G127" s="1" t="s">
        <v>161</v>
      </c>
      <c r="H127" s="1" t="s">
        <v>183</v>
      </c>
      <c r="I127" s="1">
        <v>35</v>
      </c>
      <c r="J127" s="1">
        <v>3.2185792349726774</v>
      </c>
      <c r="K127" s="1" t="s">
        <v>31</v>
      </c>
      <c r="L127">
        <v>20.420000000000002</v>
      </c>
      <c r="M127">
        <v>35.5</v>
      </c>
      <c r="N127">
        <v>16.100000000000001</v>
      </c>
      <c r="O127">
        <v>3125</v>
      </c>
    </row>
    <row r="128" spans="1:15" x14ac:dyDescent="0.25">
      <c r="A128" s="1" t="s">
        <v>202</v>
      </c>
      <c r="B128" s="2">
        <v>19.947900000000001</v>
      </c>
      <c r="C128" s="2">
        <v>50.0685</v>
      </c>
      <c r="D128" s="1" t="s">
        <v>203</v>
      </c>
      <c r="E128" s="1" t="s">
        <v>159</v>
      </c>
      <c r="F128" s="1" t="s">
        <v>160</v>
      </c>
      <c r="G128" s="1" t="s">
        <v>204</v>
      </c>
      <c r="H128" s="1" t="s">
        <v>160</v>
      </c>
      <c r="I128" s="1">
        <v>73500</v>
      </c>
      <c r="J128" s="3">
        <v>441.8497267759563</v>
      </c>
      <c r="K128" s="1">
        <v>165</v>
      </c>
      <c r="L128">
        <v>20.420000000000002</v>
      </c>
      <c r="M128">
        <v>35.5</v>
      </c>
      <c r="N128">
        <v>16.100000000000001</v>
      </c>
      <c r="O128">
        <v>3125</v>
      </c>
    </row>
    <row r="129" spans="1:15" x14ac:dyDescent="0.25">
      <c r="A129" s="1" t="s">
        <v>205</v>
      </c>
      <c r="B129" s="2">
        <v>19.975200000000001</v>
      </c>
      <c r="C129" s="2">
        <v>50.034999999999997</v>
      </c>
      <c r="D129" s="1" t="s">
        <v>206</v>
      </c>
      <c r="E129" s="1" t="s">
        <v>159</v>
      </c>
      <c r="F129" s="1" t="s">
        <v>160</v>
      </c>
      <c r="G129" s="1" t="s">
        <v>204</v>
      </c>
      <c r="H129" s="1" t="s">
        <v>160</v>
      </c>
      <c r="I129" s="1">
        <v>2100</v>
      </c>
      <c r="J129" s="3">
        <v>166.09836065573771</v>
      </c>
      <c r="K129" s="1">
        <v>15</v>
      </c>
      <c r="L129">
        <v>20.420000000000002</v>
      </c>
      <c r="M129">
        <v>35.5</v>
      </c>
      <c r="N129">
        <v>16.100000000000001</v>
      </c>
      <c r="O129">
        <v>3125</v>
      </c>
    </row>
    <row r="130" spans="1:15" x14ac:dyDescent="0.25">
      <c r="A130" s="1" t="s">
        <v>207</v>
      </c>
      <c r="B130" s="2">
        <v>19.947918000000001</v>
      </c>
      <c r="C130" s="2">
        <v>50.057220999999998</v>
      </c>
      <c r="D130" s="1" t="s">
        <v>208</v>
      </c>
      <c r="E130" s="1" t="s">
        <v>159</v>
      </c>
      <c r="F130" s="1" t="s">
        <v>160</v>
      </c>
      <c r="G130" s="1" t="s">
        <v>204</v>
      </c>
      <c r="H130" s="1" t="s">
        <v>160</v>
      </c>
      <c r="I130" s="1">
        <v>1900</v>
      </c>
      <c r="J130" s="3">
        <v>199.85519125683061</v>
      </c>
      <c r="K130" s="1">
        <v>10</v>
      </c>
      <c r="L130">
        <v>20.420000000000002</v>
      </c>
      <c r="M130">
        <v>35.5</v>
      </c>
      <c r="N130">
        <v>16.100000000000001</v>
      </c>
      <c r="O130">
        <v>3125</v>
      </c>
    </row>
    <row r="131" spans="1:15" x14ac:dyDescent="0.25">
      <c r="A131" s="1" t="s">
        <v>209</v>
      </c>
      <c r="B131" s="2">
        <v>19.918099999999999</v>
      </c>
      <c r="C131" s="2">
        <v>50.082000000000001</v>
      </c>
      <c r="D131" s="1" t="s">
        <v>210</v>
      </c>
      <c r="E131" s="1" t="s">
        <v>159</v>
      </c>
      <c r="F131" s="1" t="s">
        <v>160</v>
      </c>
      <c r="G131" s="1" t="s">
        <v>204</v>
      </c>
      <c r="H131" s="1" t="s">
        <v>160</v>
      </c>
      <c r="I131" s="1">
        <v>1800</v>
      </c>
      <c r="J131" s="3">
        <v>156.28142076502732</v>
      </c>
      <c r="K131" s="1">
        <v>10</v>
      </c>
      <c r="L131">
        <v>20.420000000000002</v>
      </c>
      <c r="M131">
        <v>35.5</v>
      </c>
      <c r="N131">
        <v>16.100000000000001</v>
      </c>
      <c r="O131">
        <v>3125</v>
      </c>
    </row>
    <row r="132" spans="1:15" x14ac:dyDescent="0.25">
      <c r="A132" s="1" t="s">
        <v>211</v>
      </c>
      <c r="B132" s="2">
        <v>19.891908000000001</v>
      </c>
      <c r="C132" s="2">
        <v>50.082813000000002</v>
      </c>
      <c r="D132" s="1" t="s">
        <v>164</v>
      </c>
      <c r="E132" s="1" t="s">
        <v>159</v>
      </c>
      <c r="F132" s="1" t="s">
        <v>160</v>
      </c>
      <c r="G132" s="1" t="s">
        <v>204</v>
      </c>
      <c r="H132" s="1" t="s">
        <v>160</v>
      </c>
      <c r="I132" s="1">
        <v>1800</v>
      </c>
      <c r="J132" s="3">
        <v>156.27322404371586</v>
      </c>
      <c r="K132" s="1">
        <v>10</v>
      </c>
      <c r="L132">
        <v>20.420000000000002</v>
      </c>
      <c r="M132">
        <v>35.5</v>
      </c>
      <c r="N132">
        <v>16.100000000000001</v>
      </c>
      <c r="O132">
        <v>3125</v>
      </c>
    </row>
    <row r="133" spans="1:15" x14ac:dyDescent="0.25">
      <c r="A133" s="1" t="s">
        <v>212</v>
      </c>
      <c r="B133" s="2">
        <v>19.956900000000001</v>
      </c>
      <c r="C133" s="2">
        <v>50.048400000000001</v>
      </c>
      <c r="D133" s="1" t="s">
        <v>213</v>
      </c>
      <c r="E133" s="1" t="s">
        <v>159</v>
      </c>
      <c r="F133" s="1" t="s">
        <v>160</v>
      </c>
      <c r="G133" s="1" t="s">
        <v>204</v>
      </c>
      <c r="H133" s="1" t="s">
        <v>160</v>
      </c>
      <c r="I133" s="1">
        <v>1600</v>
      </c>
      <c r="J133" s="3">
        <v>199.86065573770492</v>
      </c>
      <c r="K133" s="1">
        <v>10</v>
      </c>
      <c r="L133">
        <v>20.420000000000002</v>
      </c>
      <c r="M133">
        <v>35.5</v>
      </c>
      <c r="N133">
        <v>16.100000000000001</v>
      </c>
      <c r="O133">
        <v>3125</v>
      </c>
    </row>
    <row r="134" spans="1:15" x14ac:dyDescent="0.25">
      <c r="A134" s="1" t="s">
        <v>214</v>
      </c>
      <c r="B134" s="1">
        <v>20.049883999999999</v>
      </c>
      <c r="C134" s="1">
        <v>50.018275000000003</v>
      </c>
      <c r="D134" s="1">
        <v>91</v>
      </c>
      <c r="E134" s="1" t="s">
        <v>159</v>
      </c>
      <c r="F134" s="1" t="s">
        <v>160</v>
      </c>
      <c r="G134" s="1" t="s">
        <v>204</v>
      </c>
      <c r="H134" s="1" t="s">
        <v>160</v>
      </c>
      <c r="I134" s="1">
        <v>850</v>
      </c>
      <c r="J134" s="1">
        <v>50.803278688524593</v>
      </c>
      <c r="K134" s="1" t="s">
        <v>28</v>
      </c>
      <c r="L134">
        <v>20.420000000000002</v>
      </c>
      <c r="M134">
        <v>35.5</v>
      </c>
      <c r="N134">
        <v>16.100000000000001</v>
      </c>
      <c r="O134">
        <v>3125</v>
      </c>
    </row>
    <row r="135" spans="1:15" x14ac:dyDescent="0.25">
      <c r="A135" s="1" t="s">
        <v>215</v>
      </c>
      <c r="B135" s="1">
        <v>20.029599999999999</v>
      </c>
      <c r="C135" s="1">
        <v>50.021099999999997</v>
      </c>
      <c r="D135" s="1" t="s">
        <v>216</v>
      </c>
      <c r="E135" s="1" t="s">
        <v>159</v>
      </c>
      <c r="F135" s="1" t="s">
        <v>160</v>
      </c>
      <c r="G135" s="1" t="s">
        <v>204</v>
      </c>
      <c r="H135" s="1" t="s">
        <v>160</v>
      </c>
      <c r="I135" s="1">
        <v>600</v>
      </c>
      <c r="J135" s="1">
        <v>114.86612021857924</v>
      </c>
      <c r="K135" s="1" t="s">
        <v>16</v>
      </c>
      <c r="L135">
        <v>20.420000000000002</v>
      </c>
      <c r="M135">
        <v>35.5</v>
      </c>
      <c r="N135">
        <v>16.100000000000001</v>
      </c>
      <c r="O135">
        <v>3125</v>
      </c>
    </row>
    <row r="136" spans="1:15" x14ac:dyDescent="0.25">
      <c r="A136" s="1" t="s">
        <v>217</v>
      </c>
      <c r="B136" s="1">
        <v>19.946000000000002</v>
      </c>
      <c r="C136" s="1">
        <v>50.029200000000003</v>
      </c>
      <c r="D136" s="1" t="s">
        <v>218</v>
      </c>
      <c r="E136" s="1" t="s">
        <v>159</v>
      </c>
      <c r="F136" s="1" t="s">
        <v>160</v>
      </c>
      <c r="G136" s="1" t="s">
        <v>204</v>
      </c>
      <c r="H136" s="1" t="s">
        <v>160</v>
      </c>
      <c r="I136" s="1">
        <v>600</v>
      </c>
      <c r="J136" s="1">
        <v>68.344262295081961</v>
      </c>
      <c r="K136" s="1" t="s">
        <v>28</v>
      </c>
      <c r="L136">
        <v>20.420000000000002</v>
      </c>
      <c r="M136">
        <v>35.5</v>
      </c>
      <c r="N136">
        <v>16.100000000000001</v>
      </c>
      <c r="O136">
        <v>3125</v>
      </c>
    </row>
    <row r="137" spans="1:15" x14ac:dyDescent="0.25">
      <c r="A137" s="1" t="s">
        <v>219</v>
      </c>
      <c r="B137" s="1">
        <v>19.998999999999999</v>
      </c>
      <c r="C137" s="1">
        <v>50.026499999999999</v>
      </c>
      <c r="D137" s="1" t="s">
        <v>220</v>
      </c>
      <c r="E137" s="1" t="s">
        <v>159</v>
      </c>
      <c r="F137" s="1" t="s">
        <v>160</v>
      </c>
      <c r="G137" s="1" t="s">
        <v>204</v>
      </c>
      <c r="H137" s="1" t="s">
        <v>160</v>
      </c>
      <c r="I137" s="1">
        <v>400</v>
      </c>
      <c r="J137" s="1">
        <v>104.39617486338798</v>
      </c>
      <c r="K137" s="1" t="s">
        <v>16</v>
      </c>
      <c r="L137">
        <v>20.420000000000002</v>
      </c>
      <c r="M137">
        <v>35.5</v>
      </c>
      <c r="N137">
        <v>16.100000000000001</v>
      </c>
      <c r="O137">
        <v>3125</v>
      </c>
    </row>
    <row r="138" spans="1:15" x14ac:dyDescent="0.25">
      <c r="A138" s="1" t="s">
        <v>221</v>
      </c>
      <c r="B138" s="1">
        <v>19.849399999999999</v>
      </c>
      <c r="C138" s="1">
        <v>50.079799999999999</v>
      </c>
      <c r="D138" s="1" t="s">
        <v>158</v>
      </c>
      <c r="E138" s="1" t="s">
        <v>159</v>
      </c>
      <c r="F138" s="1" t="s">
        <v>160</v>
      </c>
      <c r="G138" s="1" t="s">
        <v>204</v>
      </c>
      <c r="H138" s="1" t="s">
        <v>160</v>
      </c>
      <c r="I138" s="1">
        <v>400</v>
      </c>
      <c r="J138" s="1">
        <v>70.584699453551906</v>
      </c>
      <c r="K138" s="1" t="s">
        <v>31</v>
      </c>
      <c r="L138">
        <v>20.420000000000002</v>
      </c>
      <c r="M138">
        <v>35.5</v>
      </c>
      <c r="N138">
        <v>16.100000000000001</v>
      </c>
      <c r="O138">
        <v>3125</v>
      </c>
    </row>
    <row r="139" spans="1:15" x14ac:dyDescent="0.25">
      <c r="A139" s="1" t="s">
        <v>222</v>
      </c>
      <c r="B139" s="1">
        <v>19.933900000000001</v>
      </c>
      <c r="C139" s="1">
        <v>50.023600000000002</v>
      </c>
      <c r="D139" s="1" t="s">
        <v>177</v>
      </c>
      <c r="E139" s="1" t="s">
        <v>159</v>
      </c>
      <c r="F139" s="1" t="s">
        <v>160</v>
      </c>
      <c r="G139" s="1" t="s">
        <v>204</v>
      </c>
      <c r="H139" s="1" t="s">
        <v>160</v>
      </c>
      <c r="I139" s="1">
        <v>400</v>
      </c>
      <c r="J139" s="1">
        <v>68.778688524590166</v>
      </c>
      <c r="K139" s="1" t="s">
        <v>31</v>
      </c>
      <c r="L139">
        <v>20.420000000000002</v>
      </c>
      <c r="M139">
        <v>35.5</v>
      </c>
      <c r="N139">
        <v>16.100000000000001</v>
      </c>
      <c r="O139">
        <v>3125</v>
      </c>
    </row>
    <row r="140" spans="1:15" x14ac:dyDescent="0.25">
      <c r="A140" s="1" t="s">
        <v>223</v>
      </c>
      <c r="B140" s="1">
        <v>19.959229700000002</v>
      </c>
      <c r="C140" s="1">
        <v>50.041112800000001</v>
      </c>
      <c r="D140" s="1" t="s">
        <v>224</v>
      </c>
      <c r="E140" s="1" t="s">
        <v>159</v>
      </c>
      <c r="F140" s="1" t="s">
        <v>160</v>
      </c>
      <c r="G140" s="1" t="s">
        <v>204</v>
      </c>
      <c r="H140" s="1" t="s">
        <v>160</v>
      </c>
      <c r="I140" s="1">
        <v>400</v>
      </c>
      <c r="J140" s="1">
        <v>68.778688524590166</v>
      </c>
      <c r="K140" s="1" t="s">
        <v>31</v>
      </c>
      <c r="L140">
        <v>20.420000000000002</v>
      </c>
      <c r="M140">
        <v>35.5</v>
      </c>
      <c r="N140">
        <v>16.100000000000001</v>
      </c>
      <c r="O140">
        <v>3125</v>
      </c>
    </row>
    <row r="141" spans="1:15" x14ac:dyDescent="0.25">
      <c r="A141" s="1" t="s">
        <v>225</v>
      </c>
      <c r="B141" s="1">
        <v>19.899428</v>
      </c>
      <c r="C141" s="1">
        <v>49.988815000000002</v>
      </c>
      <c r="D141" s="1">
        <v>94</v>
      </c>
      <c r="E141" s="1" t="s">
        <v>159</v>
      </c>
      <c r="F141" s="1" t="s">
        <v>160</v>
      </c>
      <c r="G141" s="1" t="s">
        <v>204</v>
      </c>
      <c r="H141" s="1" t="s">
        <v>160</v>
      </c>
      <c r="I141" s="1">
        <v>400</v>
      </c>
      <c r="J141" s="1">
        <v>68.352459016393439</v>
      </c>
      <c r="K141" s="1" t="s">
        <v>31</v>
      </c>
      <c r="L141">
        <v>20.420000000000002</v>
      </c>
      <c r="M141">
        <v>35.5</v>
      </c>
      <c r="N141">
        <v>16.100000000000001</v>
      </c>
      <c r="O141">
        <v>3125</v>
      </c>
    </row>
    <row r="142" spans="1:15" x14ac:dyDescent="0.25">
      <c r="A142" s="1" t="s">
        <v>226</v>
      </c>
      <c r="B142" s="1">
        <v>19.8748</v>
      </c>
      <c r="C142" s="1">
        <v>49.985599999999998</v>
      </c>
      <c r="D142" s="1" t="s">
        <v>177</v>
      </c>
      <c r="E142" s="1" t="s">
        <v>159</v>
      </c>
      <c r="F142" s="1" t="s">
        <v>160</v>
      </c>
      <c r="G142" s="1" t="s">
        <v>204</v>
      </c>
      <c r="H142" s="1" t="s">
        <v>160</v>
      </c>
      <c r="I142" s="1">
        <v>400</v>
      </c>
      <c r="J142" s="1">
        <v>68.352459016393439</v>
      </c>
      <c r="K142" s="1" t="s">
        <v>31</v>
      </c>
      <c r="L142">
        <v>20.420000000000002</v>
      </c>
      <c r="M142">
        <v>35.5</v>
      </c>
      <c r="N142">
        <v>16.100000000000001</v>
      </c>
      <c r="O142">
        <v>3125</v>
      </c>
    </row>
    <row r="143" spans="1:15" x14ac:dyDescent="0.25">
      <c r="A143" s="1" t="s">
        <v>227</v>
      </c>
      <c r="B143" s="1">
        <v>19.928100000000001</v>
      </c>
      <c r="C143" s="1">
        <v>50.000399999999999</v>
      </c>
      <c r="D143" s="1" t="s">
        <v>177</v>
      </c>
      <c r="E143" s="1" t="s">
        <v>159</v>
      </c>
      <c r="F143" s="1" t="s">
        <v>160</v>
      </c>
      <c r="G143" s="1" t="s">
        <v>204</v>
      </c>
      <c r="H143" s="1" t="s">
        <v>160</v>
      </c>
      <c r="I143" s="1">
        <v>400</v>
      </c>
      <c r="J143" s="1">
        <v>68.352459016393439</v>
      </c>
      <c r="K143" s="1" t="s">
        <v>16</v>
      </c>
      <c r="L143">
        <v>20.420000000000002</v>
      </c>
      <c r="M143">
        <v>35.5</v>
      </c>
      <c r="N143">
        <v>16.100000000000001</v>
      </c>
      <c r="O143">
        <v>3125</v>
      </c>
    </row>
    <row r="144" spans="1:15" x14ac:dyDescent="0.25">
      <c r="A144" s="1" t="s">
        <v>228</v>
      </c>
      <c r="B144" s="1">
        <v>20.035399999999999</v>
      </c>
      <c r="C144" s="1">
        <v>50.010100000000001</v>
      </c>
      <c r="D144" s="1" t="s">
        <v>229</v>
      </c>
      <c r="E144" s="1" t="s">
        <v>159</v>
      </c>
      <c r="F144" s="1" t="s">
        <v>160</v>
      </c>
      <c r="G144" s="1" t="s">
        <v>204</v>
      </c>
      <c r="H144" s="1" t="s">
        <v>160</v>
      </c>
      <c r="I144" s="1">
        <v>400</v>
      </c>
      <c r="J144" s="1">
        <v>64.057377049180332</v>
      </c>
      <c r="K144" s="1" t="s">
        <v>31</v>
      </c>
      <c r="L144">
        <v>20.420000000000002</v>
      </c>
      <c r="M144">
        <v>35.5</v>
      </c>
      <c r="N144">
        <v>16.100000000000001</v>
      </c>
      <c r="O144">
        <v>3125</v>
      </c>
    </row>
    <row r="145" spans="1:15" x14ac:dyDescent="0.25">
      <c r="A145" s="1" t="s">
        <v>230</v>
      </c>
      <c r="B145" s="1">
        <v>19.825399999999998</v>
      </c>
      <c r="C145" s="1">
        <v>50.076500000000003</v>
      </c>
      <c r="D145" s="1" t="s">
        <v>158</v>
      </c>
      <c r="E145" s="1" t="s">
        <v>159</v>
      </c>
      <c r="F145" s="1" t="s">
        <v>160</v>
      </c>
      <c r="G145" s="1" t="s">
        <v>204</v>
      </c>
      <c r="H145" s="1" t="s">
        <v>160</v>
      </c>
      <c r="I145" s="1">
        <v>175</v>
      </c>
      <c r="J145" s="1">
        <v>70.584699453551906</v>
      </c>
      <c r="K145" s="1" t="s">
        <v>16</v>
      </c>
      <c r="L145">
        <v>20.420000000000002</v>
      </c>
      <c r="M145">
        <v>35.5</v>
      </c>
      <c r="N145">
        <v>16.100000000000001</v>
      </c>
      <c r="O145">
        <v>3125</v>
      </c>
    </row>
    <row r="146" spans="1:15" x14ac:dyDescent="0.25">
      <c r="A146" s="1" t="s">
        <v>231</v>
      </c>
      <c r="B146" s="1">
        <v>19.8445</v>
      </c>
      <c r="C146" s="1">
        <v>50.091200000000001</v>
      </c>
      <c r="D146" s="1" t="s">
        <v>164</v>
      </c>
      <c r="E146" s="1" t="s">
        <v>159</v>
      </c>
      <c r="F146" s="1" t="s">
        <v>160</v>
      </c>
      <c r="G146" s="1" t="s">
        <v>204</v>
      </c>
      <c r="H146" s="1" t="s">
        <v>160</v>
      </c>
      <c r="I146" s="1">
        <v>175</v>
      </c>
      <c r="J146" s="1">
        <v>67.513661202185787</v>
      </c>
      <c r="K146" s="1" t="s">
        <v>16</v>
      </c>
      <c r="L146">
        <v>20.420000000000002</v>
      </c>
      <c r="M146">
        <v>35.5</v>
      </c>
      <c r="N146">
        <v>16.100000000000001</v>
      </c>
      <c r="O146">
        <v>3125</v>
      </c>
    </row>
    <row r="147" spans="1:15" x14ac:dyDescent="0.25">
      <c r="A147" s="1" t="s">
        <v>232</v>
      </c>
      <c r="B147" s="1">
        <v>19.858499999999999</v>
      </c>
      <c r="C147" s="1">
        <v>50.081800000000001</v>
      </c>
      <c r="D147" s="1" t="s">
        <v>158</v>
      </c>
      <c r="E147" s="1" t="s">
        <v>159</v>
      </c>
      <c r="F147" s="1" t="s">
        <v>160</v>
      </c>
      <c r="G147" s="1" t="s">
        <v>204</v>
      </c>
      <c r="H147" s="1" t="s">
        <v>160</v>
      </c>
      <c r="I147" s="1">
        <v>150</v>
      </c>
      <c r="J147" s="1">
        <v>70.584699453551906</v>
      </c>
      <c r="K147" s="1" t="s">
        <v>16</v>
      </c>
      <c r="L147">
        <v>20.420000000000002</v>
      </c>
      <c r="M147">
        <v>35.5</v>
      </c>
      <c r="N147">
        <v>16.100000000000001</v>
      </c>
      <c r="O147">
        <v>3125</v>
      </c>
    </row>
    <row r="148" spans="1:15" x14ac:dyDescent="0.25">
      <c r="A148" s="1" t="s">
        <v>233</v>
      </c>
      <c r="B148" s="1">
        <v>19.9343</v>
      </c>
      <c r="C148" s="1">
        <v>50.0139</v>
      </c>
      <c r="D148" s="1" t="s">
        <v>177</v>
      </c>
      <c r="E148" s="1" t="s">
        <v>159</v>
      </c>
      <c r="F148" s="1" t="s">
        <v>160</v>
      </c>
      <c r="G148" s="1" t="s">
        <v>204</v>
      </c>
      <c r="H148" s="1" t="s">
        <v>160</v>
      </c>
      <c r="I148" s="1">
        <v>150</v>
      </c>
      <c r="J148" s="1">
        <v>68.349726775956285</v>
      </c>
      <c r="K148" s="1" t="s">
        <v>16</v>
      </c>
      <c r="L148">
        <v>20.420000000000002</v>
      </c>
      <c r="M148">
        <v>35.5</v>
      </c>
      <c r="N148">
        <v>16.100000000000001</v>
      </c>
      <c r="O148">
        <v>3125</v>
      </c>
    </row>
    <row r="149" spans="1:15" x14ac:dyDescent="0.25">
      <c r="A149" s="1" t="s">
        <v>234</v>
      </c>
      <c r="B149" s="1">
        <v>19.859100000000002</v>
      </c>
      <c r="C149" s="1">
        <v>50.0837</v>
      </c>
      <c r="D149" s="1" t="s">
        <v>235</v>
      </c>
      <c r="E149" s="1" t="s">
        <v>159</v>
      </c>
      <c r="F149" s="1" t="s">
        <v>160</v>
      </c>
      <c r="G149" s="1" t="s">
        <v>204</v>
      </c>
      <c r="H149" s="1" t="s">
        <v>160</v>
      </c>
      <c r="I149" s="1">
        <v>75</v>
      </c>
      <c r="J149" s="1">
        <v>67.535519125683066</v>
      </c>
      <c r="K149" s="1" t="s">
        <v>18</v>
      </c>
      <c r="L149">
        <v>20.420000000000002</v>
      </c>
      <c r="M149">
        <v>35.5</v>
      </c>
      <c r="N149">
        <v>16.100000000000001</v>
      </c>
      <c r="O149">
        <v>3125</v>
      </c>
    </row>
    <row r="150" spans="1:15" x14ac:dyDescent="0.25">
      <c r="A150" s="1" t="s">
        <v>236</v>
      </c>
      <c r="B150" s="1">
        <v>20.135999999999999</v>
      </c>
      <c r="C150" s="1">
        <v>50.09</v>
      </c>
      <c r="D150" s="1" t="s">
        <v>237</v>
      </c>
      <c r="E150" s="1" t="s">
        <v>159</v>
      </c>
      <c r="F150" s="1" t="s">
        <v>160</v>
      </c>
      <c r="G150" s="1" t="s">
        <v>204</v>
      </c>
      <c r="H150" s="1" t="s">
        <v>160</v>
      </c>
      <c r="I150" s="1">
        <v>35</v>
      </c>
      <c r="J150" s="1">
        <v>10.748633879781421</v>
      </c>
      <c r="K150" s="1" t="s">
        <v>16</v>
      </c>
      <c r="L150">
        <v>20.420000000000002</v>
      </c>
      <c r="M150">
        <v>35.5</v>
      </c>
      <c r="N150">
        <v>16.100000000000001</v>
      </c>
      <c r="O150">
        <v>3125</v>
      </c>
    </row>
    <row r="151" spans="1:15" x14ac:dyDescent="0.25">
      <c r="A151" s="1" t="s">
        <v>238</v>
      </c>
      <c r="B151" s="1">
        <v>20.0746</v>
      </c>
      <c r="C151" s="1">
        <v>50.090594000000003</v>
      </c>
      <c r="D151" s="1" t="s">
        <v>239</v>
      </c>
      <c r="E151" s="1" t="s">
        <v>159</v>
      </c>
      <c r="F151" s="1" t="s">
        <v>160</v>
      </c>
      <c r="G151" s="1" t="s">
        <v>204</v>
      </c>
      <c r="H151" s="1" t="s">
        <v>160</v>
      </c>
      <c r="I151" s="1">
        <v>5</v>
      </c>
      <c r="J151" s="1">
        <v>5.3743169398907105</v>
      </c>
      <c r="K151" s="1" t="s">
        <v>18</v>
      </c>
      <c r="L151">
        <v>20.420000000000002</v>
      </c>
      <c r="M151">
        <v>35.5</v>
      </c>
      <c r="N151">
        <v>16.100000000000001</v>
      </c>
      <c r="O151">
        <v>3125</v>
      </c>
    </row>
    <row r="152" spans="1:15" x14ac:dyDescent="0.25">
      <c r="A152" s="1" t="s">
        <v>240</v>
      </c>
      <c r="B152" s="1">
        <v>50.089846999999999</v>
      </c>
      <c r="C152" s="1">
        <v>20.168997000000001</v>
      </c>
      <c r="D152" s="1" t="s">
        <v>239</v>
      </c>
      <c r="E152" s="1" t="s">
        <v>180</v>
      </c>
      <c r="F152" s="1" t="s">
        <v>160</v>
      </c>
      <c r="G152" s="1" t="s">
        <v>204</v>
      </c>
      <c r="H152" s="1" t="s">
        <v>160</v>
      </c>
      <c r="I152" s="1">
        <v>5</v>
      </c>
      <c r="J152" s="1">
        <v>1.3032786885245902</v>
      </c>
      <c r="K152" s="1" t="s">
        <v>18</v>
      </c>
      <c r="L152">
        <v>20.420000000000002</v>
      </c>
      <c r="M152">
        <v>35.5</v>
      </c>
      <c r="N152">
        <v>16.100000000000001</v>
      </c>
      <c r="O152">
        <v>3125</v>
      </c>
    </row>
    <row r="153" spans="1:15" x14ac:dyDescent="0.25">
      <c r="A153" s="1" t="s">
        <v>241</v>
      </c>
      <c r="B153" s="1">
        <v>50.054929000000001</v>
      </c>
      <c r="C153" s="1">
        <v>20.165130999999999</v>
      </c>
      <c r="D153" s="1" t="s">
        <v>239</v>
      </c>
      <c r="E153" s="1" t="s">
        <v>180</v>
      </c>
      <c r="F153" s="1" t="s">
        <v>160</v>
      </c>
      <c r="G153" s="1" t="s">
        <v>204</v>
      </c>
      <c r="H153" s="1" t="s">
        <v>160</v>
      </c>
      <c r="I153" s="1">
        <v>5</v>
      </c>
      <c r="J153" s="1">
        <v>1.3032786885245902</v>
      </c>
      <c r="K153" s="1" t="s">
        <v>18</v>
      </c>
      <c r="L153">
        <v>20.420000000000002</v>
      </c>
      <c r="M153">
        <v>35.5</v>
      </c>
      <c r="N153">
        <v>16.100000000000001</v>
      </c>
      <c r="O153">
        <v>3125</v>
      </c>
    </row>
    <row r="154" spans="1:15" x14ac:dyDescent="0.25">
      <c r="A154" s="1" t="s">
        <v>242</v>
      </c>
      <c r="B154" s="2">
        <v>20.0565</v>
      </c>
      <c r="C154" s="2">
        <v>49.985700000000001</v>
      </c>
      <c r="D154" s="1" t="s">
        <v>229</v>
      </c>
      <c r="E154" s="1" t="s">
        <v>159</v>
      </c>
      <c r="F154" s="1" t="s">
        <v>160</v>
      </c>
      <c r="G154" s="1" t="s">
        <v>243</v>
      </c>
      <c r="H154" s="1" t="s">
        <v>244</v>
      </c>
      <c r="I154" s="1">
        <v>3500</v>
      </c>
      <c r="J154" s="4">
        <v>64.049180327868854</v>
      </c>
      <c r="K154" s="1">
        <v>55</v>
      </c>
      <c r="L154">
        <v>49.38</v>
      </c>
      <c r="M154">
        <v>37.200000000000003</v>
      </c>
      <c r="N154">
        <v>9.6</v>
      </c>
      <c r="O154">
        <v>7701</v>
      </c>
    </row>
    <row r="155" spans="1:15" x14ac:dyDescent="0.25">
      <c r="A155" s="1" t="s">
        <v>245</v>
      </c>
      <c r="B155" s="1">
        <v>20.049299999999999</v>
      </c>
      <c r="C155" s="1">
        <v>49.989100000000001</v>
      </c>
      <c r="D155" s="1" t="s">
        <v>229</v>
      </c>
      <c r="E155" s="1" t="s">
        <v>159</v>
      </c>
      <c r="F155" s="1" t="s">
        <v>160</v>
      </c>
      <c r="G155" s="1" t="s">
        <v>243</v>
      </c>
      <c r="H155" s="1" t="s">
        <v>244</v>
      </c>
      <c r="I155" s="1">
        <v>850</v>
      </c>
      <c r="J155" s="1">
        <v>64.057377049180332</v>
      </c>
      <c r="K155" s="1" t="s">
        <v>28</v>
      </c>
      <c r="L155">
        <v>49.38</v>
      </c>
      <c r="M155">
        <v>37.200000000000003</v>
      </c>
      <c r="N155">
        <v>9.6</v>
      </c>
      <c r="O155">
        <v>7701</v>
      </c>
    </row>
    <row r="156" spans="1:15" x14ac:dyDescent="0.25">
      <c r="A156" s="1" t="s">
        <v>246</v>
      </c>
      <c r="B156" s="1">
        <v>20.165900000000001</v>
      </c>
      <c r="C156" s="1">
        <v>50.018900000000002</v>
      </c>
      <c r="D156" s="1" t="s">
        <v>247</v>
      </c>
      <c r="E156" s="1" t="s">
        <v>159</v>
      </c>
      <c r="F156" s="1" t="s">
        <v>160</v>
      </c>
      <c r="G156" s="1" t="s">
        <v>243</v>
      </c>
      <c r="H156" s="1" t="s">
        <v>248</v>
      </c>
      <c r="I156" s="1">
        <v>850</v>
      </c>
      <c r="J156" s="1">
        <v>53.049180327868854</v>
      </c>
      <c r="K156" s="1" t="s">
        <v>44</v>
      </c>
      <c r="L156">
        <v>49.38</v>
      </c>
      <c r="M156">
        <v>37.200000000000003</v>
      </c>
      <c r="N156">
        <v>9.6</v>
      </c>
      <c r="O156">
        <v>7701</v>
      </c>
    </row>
    <row r="157" spans="1:15" x14ac:dyDescent="0.25">
      <c r="A157" s="1" t="s">
        <v>249</v>
      </c>
      <c r="B157" s="1">
        <v>20.3005</v>
      </c>
      <c r="C157" s="1">
        <v>50.001899999999999</v>
      </c>
      <c r="D157" s="1" t="s">
        <v>250</v>
      </c>
      <c r="E157" s="1" t="s">
        <v>159</v>
      </c>
      <c r="F157" s="1" t="s">
        <v>160</v>
      </c>
      <c r="G157" s="1" t="s">
        <v>243</v>
      </c>
      <c r="H157" s="1" t="s">
        <v>249</v>
      </c>
      <c r="I157" s="1">
        <v>850</v>
      </c>
      <c r="J157" s="1">
        <v>51.789617486338798</v>
      </c>
      <c r="K157" s="1" t="s">
        <v>44</v>
      </c>
      <c r="L157">
        <v>49.38</v>
      </c>
      <c r="M157">
        <v>37.200000000000003</v>
      </c>
      <c r="N157">
        <v>9.6</v>
      </c>
      <c r="O157">
        <v>7701</v>
      </c>
    </row>
    <row r="158" spans="1:15" x14ac:dyDescent="0.25">
      <c r="A158" s="1" t="s">
        <v>251</v>
      </c>
      <c r="B158" s="1">
        <v>20.206700000000001</v>
      </c>
      <c r="C158" s="1">
        <v>50.010599999999997</v>
      </c>
      <c r="D158" s="1" t="s">
        <v>250</v>
      </c>
      <c r="E158" s="1" t="s">
        <v>159</v>
      </c>
      <c r="F158" s="1" t="s">
        <v>160</v>
      </c>
      <c r="G158" s="1" t="s">
        <v>243</v>
      </c>
      <c r="H158" s="1" t="s">
        <v>248</v>
      </c>
      <c r="I158" s="1">
        <v>400</v>
      </c>
      <c r="J158" s="1">
        <v>51.789617486338798</v>
      </c>
      <c r="K158" s="1" t="s">
        <v>31</v>
      </c>
      <c r="L158">
        <v>49.38</v>
      </c>
      <c r="M158">
        <v>37.200000000000003</v>
      </c>
      <c r="N158">
        <v>9.6</v>
      </c>
      <c r="O158">
        <v>7701</v>
      </c>
    </row>
    <row r="159" spans="1:15" x14ac:dyDescent="0.25">
      <c r="A159" s="1" t="s">
        <v>252</v>
      </c>
      <c r="B159" s="1">
        <v>20.256399999999999</v>
      </c>
      <c r="C159" s="1">
        <v>50.009599999999999</v>
      </c>
      <c r="D159" s="1" t="s">
        <v>250</v>
      </c>
      <c r="E159" s="1" t="s">
        <v>159</v>
      </c>
      <c r="F159" s="1" t="s">
        <v>160</v>
      </c>
      <c r="G159" s="1" t="s">
        <v>243</v>
      </c>
      <c r="H159" s="1" t="s">
        <v>249</v>
      </c>
      <c r="I159" s="1">
        <v>400</v>
      </c>
      <c r="J159" s="1">
        <v>41.349726775956285</v>
      </c>
      <c r="K159" s="1" t="s">
        <v>31</v>
      </c>
      <c r="L159">
        <v>49.38</v>
      </c>
      <c r="M159">
        <v>37.200000000000003</v>
      </c>
      <c r="N159">
        <v>9.6</v>
      </c>
      <c r="O159">
        <v>7701</v>
      </c>
    </row>
    <row r="160" spans="1:15" x14ac:dyDescent="0.25">
      <c r="A160" s="1" t="s">
        <v>253</v>
      </c>
      <c r="B160" s="1">
        <v>20.105399999999999</v>
      </c>
      <c r="C160" s="1">
        <v>50.018700000000003</v>
      </c>
      <c r="D160" s="1" t="s">
        <v>250</v>
      </c>
      <c r="E160" s="1" t="s">
        <v>159</v>
      </c>
      <c r="F160" s="1" t="s">
        <v>160</v>
      </c>
      <c r="G160" s="1" t="s">
        <v>243</v>
      </c>
      <c r="H160" s="1" t="s">
        <v>244</v>
      </c>
      <c r="I160" s="1">
        <v>400</v>
      </c>
      <c r="J160" s="1">
        <v>40.366120218579233</v>
      </c>
      <c r="K160" s="1" t="s">
        <v>31</v>
      </c>
      <c r="L160">
        <v>49.38</v>
      </c>
      <c r="M160">
        <v>37.200000000000003</v>
      </c>
      <c r="N160">
        <v>9.6</v>
      </c>
      <c r="O160">
        <v>7701</v>
      </c>
    </row>
    <row r="161" spans="1:15" x14ac:dyDescent="0.25">
      <c r="A161" s="1" t="s">
        <v>254</v>
      </c>
      <c r="B161" s="1">
        <v>20.0366</v>
      </c>
      <c r="C161" s="1">
        <v>49.9985</v>
      </c>
      <c r="D161" s="1" t="s">
        <v>229</v>
      </c>
      <c r="E161" s="1" t="s">
        <v>159</v>
      </c>
      <c r="F161" s="1" t="s">
        <v>160</v>
      </c>
      <c r="G161" s="1" t="s">
        <v>243</v>
      </c>
      <c r="H161" s="1" t="s">
        <v>244</v>
      </c>
      <c r="I161" s="1">
        <v>175</v>
      </c>
      <c r="J161" s="1">
        <v>64.057377049180332</v>
      </c>
      <c r="K161" s="1" t="s">
        <v>16</v>
      </c>
      <c r="L161">
        <v>49.38</v>
      </c>
      <c r="M161">
        <v>37.200000000000003</v>
      </c>
      <c r="N161">
        <v>9.6</v>
      </c>
      <c r="O161">
        <v>7701</v>
      </c>
    </row>
    <row r="162" spans="1:15" x14ac:dyDescent="0.25">
      <c r="A162" s="1" t="s">
        <v>255</v>
      </c>
      <c r="B162" s="1">
        <v>20.069800000000001</v>
      </c>
      <c r="C162" s="1">
        <v>50.017800000000001</v>
      </c>
      <c r="D162" s="1" t="s">
        <v>250</v>
      </c>
      <c r="E162" s="1" t="s">
        <v>159</v>
      </c>
      <c r="F162" s="1" t="s">
        <v>160</v>
      </c>
      <c r="G162" s="1" t="s">
        <v>243</v>
      </c>
      <c r="H162" s="1" t="s">
        <v>244</v>
      </c>
      <c r="I162" s="1">
        <v>75</v>
      </c>
      <c r="J162" s="1">
        <v>40.366120218579233</v>
      </c>
      <c r="K162" s="1" t="s">
        <v>16</v>
      </c>
      <c r="L162">
        <v>49.38</v>
      </c>
      <c r="M162">
        <v>37.200000000000003</v>
      </c>
      <c r="N162">
        <v>9.6</v>
      </c>
      <c r="O162">
        <v>7701</v>
      </c>
    </row>
    <row r="163" spans="1:15" x14ac:dyDescent="0.25">
      <c r="A163" s="1" t="s">
        <v>256</v>
      </c>
      <c r="B163" s="1">
        <v>20.938500000000001</v>
      </c>
      <c r="C163" s="1">
        <v>49.707900000000002</v>
      </c>
      <c r="D163" s="1" t="s">
        <v>257</v>
      </c>
      <c r="E163" s="1" t="s">
        <v>159</v>
      </c>
      <c r="F163" s="1" t="s">
        <v>258</v>
      </c>
      <c r="G163" s="1" t="s">
        <v>259</v>
      </c>
      <c r="H163" s="1" t="s">
        <v>260</v>
      </c>
      <c r="I163" s="1">
        <v>150</v>
      </c>
      <c r="J163" s="1">
        <v>27.180327868852459</v>
      </c>
      <c r="K163" s="1" t="s">
        <v>31</v>
      </c>
      <c r="L163">
        <v>20.420000000000002</v>
      </c>
      <c r="M163">
        <v>35.5</v>
      </c>
      <c r="N163">
        <v>16.100000000000001</v>
      </c>
      <c r="O163">
        <v>3125</v>
      </c>
    </row>
    <row r="164" spans="1:15" x14ac:dyDescent="0.25">
      <c r="A164" s="1" t="s">
        <v>261</v>
      </c>
      <c r="B164" s="1">
        <v>21.195</v>
      </c>
      <c r="C164" s="1">
        <v>49.693899999999999</v>
      </c>
      <c r="D164" s="1" t="s">
        <v>262</v>
      </c>
      <c r="E164" s="1" t="s">
        <v>159</v>
      </c>
      <c r="F164" s="1" t="s">
        <v>258</v>
      </c>
      <c r="G164" s="1" t="s">
        <v>259</v>
      </c>
      <c r="H164" s="1" t="s">
        <v>263</v>
      </c>
      <c r="I164" s="1">
        <v>125</v>
      </c>
      <c r="J164" s="1">
        <v>4.3661202185792352</v>
      </c>
      <c r="K164" s="1" t="s">
        <v>60</v>
      </c>
      <c r="L164">
        <v>20.420000000000002</v>
      </c>
      <c r="M164">
        <v>35.5</v>
      </c>
      <c r="N164">
        <v>16.100000000000001</v>
      </c>
      <c r="O164">
        <v>3125</v>
      </c>
    </row>
    <row r="165" spans="1:15" x14ac:dyDescent="0.25">
      <c r="A165" s="1" t="s">
        <v>264</v>
      </c>
      <c r="B165" s="1">
        <v>21.263000000000002</v>
      </c>
      <c r="C165" s="1">
        <v>49.732500000000002</v>
      </c>
      <c r="D165" s="1" t="s">
        <v>12</v>
      </c>
      <c r="E165" s="1" t="s">
        <v>159</v>
      </c>
      <c r="F165" s="1" t="s">
        <v>258</v>
      </c>
      <c r="G165" s="1" t="s">
        <v>259</v>
      </c>
      <c r="H165" s="1" t="s">
        <v>264</v>
      </c>
      <c r="I165" s="1">
        <v>75</v>
      </c>
      <c r="J165" s="1">
        <v>4.2622950819672134</v>
      </c>
      <c r="K165" s="1" t="s">
        <v>28</v>
      </c>
      <c r="L165">
        <v>20.420000000000002</v>
      </c>
      <c r="M165">
        <v>35.5</v>
      </c>
      <c r="N165">
        <v>16.100000000000001</v>
      </c>
      <c r="O165">
        <v>3125</v>
      </c>
    </row>
    <row r="166" spans="1:15" x14ac:dyDescent="0.25">
      <c r="A166" s="1" t="s">
        <v>265</v>
      </c>
      <c r="B166" s="1">
        <v>20.942299999999999</v>
      </c>
      <c r="C166" s="1">
        <v>49.676299999999998</v>
      </c>
      <c r="D166" s="1" t="s">
        <v>257</v>
      </c>
      <c r="E166" s="1" t="s">
        <v>159</v>
      </c>
      <c r="F166" s="1" t="s">
        <v>258</v>
      </c>
      <c r="G166" s="1" t="s">
        <v>259</v>
      </c>
      <c r="H166" s="1" t="s">
        <v>260</v>
      </c>
      <c r="I166" s="1">
        <v>35</v>
      </c>
      <c r="J166" s="1">
        <v>17.562841530054644</v>
      </c>
      <c r="K166" s="1" t="s">
        <v>16</v>
      </c>
      <c r="L166">
        <v>20.420000000000002</v>
      </c>
      <c r="M166">
        <v>35.5</v>
      </c>
      <c r="N166">
        <v>16.100000000000001</v>
      </c>
      <c r="O166">
        <v>3125</v>
      </c>
    </row>
    <row r="167" spans="1:15" x14ac:dyDescent="0.25">
      <c r="A167" s="1" t="s">
        <v>260</v>
      </c>
      <c r="B167" s="1">
        <v>20.9575</v>
      </c>
      <c r="C167" s="1">
        <v>49.7166</v>
      </c>
      <c r="D167" s="1" t="s">
        <v>257</v>
      </c>
      <c r="E167" s="1" t="s">
        <v>159</v>
      </c>
      <c r="F167" s="1" t="s">
        <v>258</v>
      </c>
      <c r="G167" s="1" t="s">
        <v>259</v>
      </c>
      <c r="H167" s="1" t="s">
        <v>260</v>
      </c>
      <c r="I167" s="1">
        <v>35</v>
      </c>
      <c r="J167" s="1">
        <v>17.308743169398905</v>
      </c>
      <c r="K167" s="1" t="s">
        <v>16</v>
      </c>
      <c r="L167">
        <v>20.420000000000002</v>
      </c>
      <c r="M167">
        <v>35.5</v>
      </c>
      <c r="N167">
        <v>16.100000000000001</v>
      </c>
      <c r="O167">
        <v>3125</v>
      </c>
    </row>
    <row r="168" spans="1:15" x14ac:dyDescent="0.25">
      <c r="A168" s="1" t="s">
        <v>266</v>
      </c>
      <c r="B168" s="1">
        <v>20.934200000000001</v>
      </c>
      <c r="C168" s="1">
        <v>49.695799999999998</v>
      </c>
      <c r="D168" s="1" t="s">
        <v>257</v>
      </c>
      <c r="E168" s="1" t="s">
        <v>159</v>
      </c>
      <c r="F168" s="1" t="s">
        <v>258</v>
      </c>
      <c r="G168" s="1" t="s">
        <v>259</v>
      </c>
      <c r="H168" s="1" t="s">
        <v>260</v>
      </c>
      <c r="I168" s="1">
        <v>35</v>
      </c>
      <c r="J168" s="1">
        <v>17.297814207650273</v>
      </c>
      <c r="K168" s="1" t="s">
        <v>18</v>
      </c>
      <c r="L168">
        <v>20.420000000000002</v>
      </c>
      <c r="M168">
        <v>35.5</v>
      </c>
      <c r="N168">
        <v>16.100000000000001</v>
      </c>
      <c r="O168">
        <v>3125</v>
      </c>
    </row>
    <row r="169" spans="1:15" x14ac:dyDescent="0.25">
      <c r="A169" s="1" t="s">
        <v>267</v>
      </c>
      <c r="B169" s="1">
        <v>21.241</v>
      </c>
      <c r="C169" s="1">
        <v>49.7119</v>
      </c>
      <c r="D169" s="1" t="s">
        <v>12</v>
      </c>
      <c r="E169" s="1" t="s">
        <v>159</v>
      </c>
      <c r="F169" s="1" t="s">
        <v>258</v>
      </c>
      <c r="G169" s="1" t="s">
        <v>259</v>
      </c>
      <c r="H169" s="1" t="s">
        <v>264</v>
      </c>
      <c r="I169" s="1">
        <v>5</v>
      </c>
      <c r="J169" s="1">
        <v>0.78142076502732238</v>
      </c>
      <c r="K169" s="1" t="s">
        <v>18</v>
      </c>
      <c r="L169">
        <v>20.420000000000002</v>
      </c>
      <c r="M169">
        <v>35.5</v>
      </c>
      <c r="N169">
        <v>16.100000000000001</v>
      </c>
      <c r="O169">
        <v>3125</v>
      </c>
    </row>
    <row r="170" spans="1:15" x14ac:dyDescent="0.25">
      <c r="A170" s="1" t="s">
        <v>268</v>
      </c>
      <c r="B170" s="1">
        <v>21.023700000000002</v>
      </c>
      <c r="C170" s="1">
        <v>49.679200000000002</v>
      </c>
      <c r="D170" s="1" t="s">
        <v>12</v>
      </c>
      <c r="E170" s="1" t="s">
        <v>159</v>
      </c>
      <c r="F170" s="1" t="s">
        <v>258</v>
      </c>
      <c r="G170" s="1" t="s">
        <v>259</v>
      </c>
      <c r="H170" s="1" t="s">
        <v>269</v>
      </c>
      <c r="I170" s="1">
        <v>5</v>
      </c>
      <c r="J170" s="1">
        <v>0.61748633879781423</v>
      </c>
      <c r="K170" s="1" t="s">
        <v>18</v>
      </c>
      <c r="L170">
        <v>20.420000000000002</v>
      </c>
      <c r="M170">
        <v>35.5</v>
      </c>
      <c r="N170">
        <v>16.100000000000001</v>
      </c>
      <c r="O170">
        <v>3125</v>
      </c>
    </row>
    <row r="171" spans="1:15" x14ac:dyDescent="0.25">
      <c r="A171" s="1" t="s">
        <v>270</v>
      </c>
      <c r="B171" s="1">
        <v>21.061</v>
      </c>
      <c r="C171" s="1">
        <v>49.694000000000003</v>
      </c>
      <c r="D171" s="1" t="s">
        <v>12</v>
      </c>
      <c r="E171" s="1" t="s">
        <v>159</v>
      </c>
      <c r="F171" s="1" t="s">
        <v>258</v>
      </c>
      <c r="G171" s="1" t="s">
        <v>259</v>
      </c>
      <c r="H171" s="1" t="s">
        <v>269</v>
      </c>
      <c r="I171" s="1">
        <v>5</v>
      </c>
      <c r="J171" s="1">
        <v>0.61748633879781423</v>
      </c>
      <c r="K171" s="1" t="s">
        <v>18</v>
      </c>
      <c r="L171">
        <v>20.420000000000002</v>
      </c>
      <c r="M171">
        <v>35.5</v>
      </c>
      <c r="N171">
        <v>16.100000000000001</v>
      </c>
      <c r="O171">
        <v>3125</v>
      </c>
    </row>
    <row r="172" spans="1:15" x14ac:dyDescent="0.25">
      <c r="A172" s="1" t="s">
        <v>271</v>
      </c>
      <c r="B172" s="1">
        <v>21.1221</v>
      </c>
      <c r="C172" s="1">
        <v>49.697099999999999</v>
      </c>
      <c r="D172" s="1" t="s">
        <v>12</v>
      </c>
      <c r="E172" s="1" t="s">
        <v>159</v>
      </c>
      <c r="F172" s="1" t="s">
        <v>258</v>
      </c>
      <c r="G172" s="1" t="s">
        <v>259</v>
      </c>
      <c r="H172" s="1" t="s">
        <v>272</v>
      </c>
      <c r="I172" s="1">
        <v>5</v>
      </c>
      <c r="J172" s="1">
        <v>0.61202185792349728</v>
      </c>
      <c r="K172" s="1" t="s">
        <v>18</v>
      </c>
      <c r="L172">
        <v>20.420000000000002</v>
      </c>
      <c r="M172">
        <v>35.5</v>
      </c>
      <c r="N172">
        <v>16.100000000000001</v>
      </c>
      <c r="O172">
        <v>3125</v>
      </c>
    </row>
    <row r="173" spans="1:15" x14ac:dyDescent="0.25">
      <c r="A173" s="1" t="s">
        <v>273</v>
      </c>
      <c r="B173" s="1">
        <v>21.172999999999998</v>
      </c>
      <c r="C173" s="1">
        <v>49.671799999999998</v>
      </c>
      <c r="D173" s="1" t="s">
        <v>274</v>
      </c>
      <c r="E173" s="1" t="s">
        <v>159</v>
      </c>
      <c r="F173" s="1" t="s">
        <v>258</v>
      </c>
      <c r="G173" s="1" t="s">
        <v>259</v>
      </c>
      <c r="H173" s="1" t="s">
        <v>263</v>
      </c>
      <c r="I173" s="1">
        <v>5</v>
      </c>
      <c r="J173" s="1">
        <v>0.37704918032786883</v>
      </c>
      <c r="K173" s="1" t="s">
        <v>18</v>
      </c>
      <c r="L173">
        <v>20.420000000000002</v>
      </c>
      <c r="M173">
        <v>35.5</v>
      </c>
      <c r="N173">
        <v>16.100000000000001</v>
      </c>
      <c r="O173">
        <v>3125</v>
      </c>
    </row>
    <row r="174" spans="1:15" x14ac:dyDescent="0.25">
      <c r="A174" s="1" t="s">
        <v>263</v>
      </c>
      <c r="B174" s="1">
        <v>21.163</v>
      </c>
      <c r="C174" s="1">
        <v>49.664400000000001</v>
      </c>
      <c r="D174" s="1" t="s">
        <v>274</v>
      </c>
      <c r="E174" s="1" t="s">
        <v>159</v>
      </c>
      <c r="F174" s="1" t="s">
        <v>258</v>
      </c>
      <c r="G174" s="1" t="s">
        <v>259</v>
      </c>
      <c r="H174" s="1" t="s">
        <v>263</v>
      </c>
      <c r="I174" s="1">
        <v>5</v>
      </c>
      <c r="J174" s="1">
        <v>0.27322404371584702</v>
      </c>
      <c r="K174" s="1" t="s">
        <v>31</v>
      </c>
      <c r="L174">
        <v>20.420000000000002</v>
      </c>
      <c r="M174">
        <v>35.5</v>
      </c>
      <c r="N174">
        <v>16.100000000000001</v>
      </c>
      <c r="O174">
        <v>3125</v>
      </c>
    </row>
    <row r="175" spans="1:15" x14ac:dyDescent="0.25">
      <c r="A175" s="1" t="s">
        <v>275</v>
      </c>
      <c r="B175" s="1">
        <v>20.957899999999999</v>
      </c>
      <c r="C175" s="1">
        <v>49.6265</v>
      </c>
      <c r="D175" s="1" t="s">
        <v>257</v>
      </c>
      <c r="E175" s="1" t="s">
        <v>159</v>
      </c>
      <c r="F175" s="1" t="s">
        <v>258</v>
      </c>
      <c r="G175" s="1" t="s">
        <v>276</v>
      </c>
      <c r="H175" s="1" t="s">
        <v>275</v>
      </c>
      <c r="I175" s="1">
        <v>400</v>
      </c>
      <c r="J175" s="1">
        <v>27.494535519125684</v>
      </c>
      <c r="K175" s="1" t="s">
        <v>28</v>
      </c>
      <c r="L175">
        <v>53</v>
      </c>
      <c r="M175">
        <v>40.799999999999997</v>
      </c>
      <c r="N175">
        <v>11.4</v>
      </c>
      <c r="O175">
        <v>7043</v>
      </c>
    </row>
    <row r="176" spans="1:15" x14ac:dyDescent="0.25">
      <c r="A176" s="1" t="s">
        <v>277</v>
      </c>
      <c r="B176" s="1">
        <v>20.9572</v>
      </c>
      <c r="C176" s="1">
        <v>49.409700000000001</v>
      </c>
      <c r="D176" s="1" t="s">
        <v>278</v>
      </c>
      <c r="E176" s="1" t="s">
        <v>159</v>
      </c>
      <c r="F176" s="1" t="s">
        <v>258</v>
      </c>
      <c r="G176" s="1" t="s">
        <v>276</v>
      </c>
      <c r="H176" s="1" t="s">
        <v>277</v>
      </c>
      <c r="I176" s="1">
        <v>400</v>
      </c>
      <c r="J176" s="1">
        <v>12.639344262295081</v>
      </c>
      <c r="K176" s="1" t="s">
        <v>60</v>
      </c>
      <c r="L176">
        <v>53</v>
      </c>
      <c r="M176">
        <v>40.799999999999997</v>
      </c>
      <c r="N176">
        <v>11.4</v>
      </c>
      <c r="O176">
        <v>7043</v>
      </c>
    </row>
    <row r="177" spans="1:15" x14ac:dyDescent="0.25">
      <c r="A177" s="1" t="s">
        <v>279</v>
      </c>
      <c r="B177" s="1">
        <v>20.895</v>
      </c>
      <c r="C177" s="1">
        <v>49.347499999999997</v>
      </c>
      <c r="D177" s="1" t="s">
        <v>280</v>
      </c>
      <c r="E177" s="1" t="s">
        <v>159</v>
      </c>
      <c r="F177" s="1" t="s">
        <v>258</v>
      </c>
      <c r="G177" s="1" t="s">
        <v>276</v>
      </c>
      <c r="H177" s="1" t="s">
        <v>279</v>
      </c>
      <c r="I177" s="1">
        <v>175</v>
      </c>
      <c r="J177" s="1">
        <v>18.210382513661202</v>
      </c>
      <c r="K177" s="1" t="s">
        <v>28</v>
      </c>
      <c r="L177">
        <v>53</v>
      </c>
      <c r="M177">
        <v>40.799999999999997</v>
      </c>
      <c r="N177">
        <v>11.4</v>
      </c>
      <c r="O177">
        <v>7043</v>
      </c>
    </row>
    <row r="178" spans="1:15" x14ac:dyDescent="0.25">
      <c r="A178" s="1" t="s">
        <v>281</v>
      </c>
      <c r="B178" s="1">
        <v>20.6434</v>
      </c>
      <c r="C178" s="1">
        <v>49.558999999999997</v>
      </c>
      <c r="D178" s="1" t="s">
        <v>257</v>
      </c>
      <c r="E178" s="1" t="s">
        <v>159</v>
      </c>
      <c r="F178" s="1" t="s">
        <v>258</v>
      </c>
      <c r="G178" s="1" t="s">
        <v>276</v>
      </c>
      <c r="H178" s="1" t="s">
        <v>281</v>
      </c>
      <c r="I178" s="1">
        <v>150</v>
      </c>
      <c r="J178" s="1">
        <v>31.038251366120218</v>
      </c>
      <c r="K178" s="1" t="s">
        <v>31</v>
      </c>
      <c r="L178">
        <v>53</v>
      </c>
      <c r="M178">
        <v>40.799999999999997</v>
      </c>
      <c r="N178">
        <v>11.4</v>
      </c>
      <c r="O178">
        <v>7043</v>
      </c>
    </row>
    <row r="179" spans="1:15" x14ac:dyDescent="0.25">
      <c r="A179" s="1" t="s">
        <v>282</v>
      </c>
      <c r="B179" s="1">
        <v>20.680199999999999</v>
      </c>
      <c r="C179" s="1">
        <v>49.486499999999999</v>
      </c>
      <c r="D179" s="1" t="s">
        <v>257</v>
      </c>
      <c r="E179" s="1" t="s">
        <v>159</v>
      </c>
      <c r="F179" s="1" t="s">
        <v>258</v>
      </c>
      <c r="G179" s="1" t="s">
        <v>276</v>
      </c>
      <c r="H179" s="1" t="s">
        <v>282</v>
      </c>
      <c r="I179" s="1">
        <v>150</v>
      </c>
      <c r="J179" s="1">
        <v>31.027322404371585</v>
      </c>
      <c r="K179" s="1" t="s">
        <v>31</v>
      </c>
      <c r="L179">
        <v>53</v>
      </c>
      <c r="M179">
        <v>40.799999999999997</v>
      </c>
      <c r="N179">
        <v>11.4</v>
      </c>
      <c r="O179">
        <v>7043</v>
      </c>
    </row>
    <row r="180" spans="1:15" x14ac:dyDescent="0.25">
      <c r="A180" s="1" t="s">
        <v>283</v>
      </c>
      <c r="B180" s="1">
        <v>20.717400000000001</v>
      </c>
      <c r="C180" s="1">
        <v>49.4407</v>
      </c>
      <c r="D180" s="1" t="s">
        <v>257</v>
      </c>
      <c r="E180" s="1" t="s">
        <v>159</v>
      </c>
      <c r="F180" s="1" t="s">
        <v>258</v>
      </c>
      <c r="G180" s="1" t="s">
        <v>276</v>
      </c>
      <c r="H180" s="1" t="s">
        <v>283</v>
      </c>
      <c r="I180" s="1">
        <v>150</v>
      </c>
      <c r="J180" s="1">
        <v>30.997267759562842</v>
      </c>
      <c r="K180" s="1" t="s">
        <v>31</v>
      </c>
      <c r="L180">
        <v>53</v>
      </c>
      <c r="M180">
        <v>40.799999999999997</v>
      </c>
      <c r="N180">
        <v>11.4</v>
      </c>
      <c r="O180">
        <v>7043</v>
      </c>
    </row>
    <row r="181" spans="1:15" x14ac:dyDescent="0.25">
      <c r="A181" s="1" t="s">
        <v>284</v>
      </c>
      <c r="B181" s="1">
        <v>20.976700000000001</v>
      </c>
      <c r="C181" s="1">
        <v>49.654200000000003</v>
      </c>
      <c r="D181" s="1" t="s">
        <v>285</v>
      </c>
      <c r="E181" s="1" t="s">
        <v>159</v>
      </c>
      <c r="F181" s="1" t="s">
        <v>258</v>
      </c>
      <c r="G181" s="1" t="s">
        <v>276</v>
      </c>
      <c r="H181" s="1" t="s">
        <v>275</v>
      </c>
      <c r="I181" s="1">
        <v>150</v>
      </c>
      <c r="J181" s="1">
        <v>27.489071038251367</v>
      </c>
      <c r="K181" s="1" t="s">
        <v>31</v>
      </c>
      <c r="L181">
        <v>53</v>
      </c>
      <c r="M181">
        <v>40.799999999999997</v>
      </c>
      <c r="N181">
        <v>11.4</v>
      </c>
      <c r="O181">
        <v>7043</v>
      </c>
    </row>
    <row r="182" spans="1:15" x14ac:dyDescent="0.25">
      <c r="A182" s="1" t="s">
        <v>286</v>
      </c>
      <c r="B182" s="1">
        <v>20.716000000000001</v>
      </c>
      <c r="C182" s="1">
        <v>49.431800000000003</v>
      </c>
      <c r="D182" s="1" t="s">
        <v>257</v>
      </c>
      <c r="E182" s="1" t="s">
        <v>159</v>
      </c>
      <c r="F182" s="1" t="s">
        <v>258</v>
      </c>
      <c r="G182" s="1" t="s">
        <v>276</v>
      </c>
      <c r="H182" s="1" t="s">
        <v>283</v>
      </c>
      <c r="I182" s="1">
        <v>150</v>
      </c>
      <c r="J182" s="1">
        <v>26.284153005464482</v>
      </c>
      <c r="K182" s="1" t="s">
        <v>31</v>
      </c>
      <c r="L182">
        <v>53</v>
      </c>
      <c r="M182">
        <v>40.799999999999997</v>
      </c>
      <c r="N182">
        <v>11.4</v>
      </c>
      <c r="O182">
        <v>7043</v>
      </c>
    </row>
    <row r="183" spans="1:15" x14ac:dyDescent="0.25">
      <c r="A183" s="1" t="s">
        <v>287</v>
      </c>
      <c r="B183" s="1">
        <v>20.648700000000002</v>
      </c>
      <c r="C183" s="1">
        <v>49.526200000000003</v>
      </c>
      <c r="D183" s="1" t="s">
        <v>257</v>
      </c>
      <c r="E183" s="1" t="s">
        <v>159</v>
      </c>
      <c r="F183" s="1" t="s">
        <v>258</v>
      </c>
      <c r="G183" s="1" t="s">
        <v>276</v>
      </c>
      <c r="H183" s="1" t="s">
        <v>281</v>
      </c>
      <c r="I183" s="1">
        <v>125</v>
      </c>
      <c r="J183" s="1">
        <v>26.303278688524589</v>
      </c>
      <c r="K183" s="1" t="s">
        <v>16</v>
      </c>
      <c r="L183">
        <v>53</v>
      </c>
      <c r="M183">
        <v>40.799999999999997</v>
      </c>
      <c r="N183">
        <v>11.4</v>
      </c>
      <c r="O183">
        <v>7043</v>
      </c>
    </row>
    <row r="184" spans="1:15" x14ac:dyDescent="0.25">
      <c r="A184" s="1" t="s">
        <v>288</v>
      </c>
      <c r="B184" s="1">
        <v>20.696100000000001</v>
      </c>
      <c r="C184" s="1">
        <v>49.468699999999998</v>
      </c>
      <c r="D184" s="1" t="s">
        <v>257</v>
      </c>
      <c r="E184" s="1" t="s">
        <v>159</v>
      </c>
      <c r="F184" s="1" t="s">
        <v>258</v>
      </c>
      <c r="G184" s="1" t="s">
        <v>276</v>
      </c>
      <c r="H184" s="1" t="s">
        <v>283</v>
      </c>
      <c r="I184" s="1">
        <v>75</v>
      </c>
      <c r="J184" s="1">
        <v>26.275956284153004</v>
      </c>
      <c r="K184" s="1" t="s">
        <v>16</v>
      </c>
      <c r="L184">
        <v>53</v>
      </c>
      <c r="M184">
        <v>40.799999999999997</v>
      </c>
      <c r="N184">
        <v>11.4</v>
      </c>
      <c r="O184">
        <v>7043</v>
      </c>
    </row>
    <row r="185" spans="1:15" x14ac:dyDescent="0.25">
      <c r="A185" s="1" t="s">
        <v>289</v>
      </c>
      <c r="B185" s="1">
        <v>20.881699999999999</v>
      </c>
      <c r="C185" s="1">
        <v>49.603299999999997</v>
      </c>
      <c r="D185" s="1" t="s">
        <v>257</v>
      </c>
      <c r="E185" s="1" t="s">
        <v>159</v>
      </c>
      <c r="F185" s="1" t="s">
        <v>258</v>
      </c>
      <c r="G185" s="1" t="s">
        <v>276</v>
      </c>
      <c r="H185" s="1" t="s">
        <v>275</v>
      </c>
      <c r="I185" s="1">
        <v>75</v>
      </c>
      <c r="J185" s="1">
        <v>17.740437158469945</v>
      </c>
      <c r="K185" s="1" t="s">
        <v>31</v>
      </c>
      <c r="L185">
        <v>53</v>
      </c>
      <c r="M185">
        <v>40.799999999999997</v>
      </c>
      <c r="N185">
        <v>11.4</v>
      </c>
      <c r="O185">
        <v>7043</v>
      </c>
    </row>
    <row r="186" spans="1:15" x14ac:dyDescent="0.25">
      <c r="A186" s="1" t="s">
        <v>290</v>
      </c>
      <c r="B186" s="1">
        <v>20.724799999999998</v>
      </c>
      <c r="C186" s="1">
        <v>49.419899999999998</v>
      </c>
      <c r="D186" s="1" t="s">
        <v>257</v>
      </c>
      <c r="E186" s="1" t="s">
        <v>159</v>
      </c>
      <c r="F186" s="1" t="s">
        <v>258</v>
      </c>
      <c r="G186" s="1" t="s">
        <v>276</v>
      </c>
      <c r="H186" s="1" t="s">
        <v>283</v>
      </c>
      <c r="I186" s="1">
        <v>75</v>
      </c>
      <c r="J186" s="1">
        <v>17.691256830601095</v>
      </c>
      <c r="K186" s="1" t="s">
        <v>16</v>
      </c>
      <c r="L186">
        <v>53</v>
      </c>
      <c r="M186">
        <v>40.799999999999997</v>
      </c>
      <c r="N186">
        <v>11.4</v>
      </c>
      <c r="O186">
        <v>7043</v>
      </c>
    </row>
    <row r="187" spans="1:15" x14ac:dyDescent="0.25">
      <c r="A187" s="1" t="s">
        <v>291</v>
      </c>
      <c r="B187" s="1">
        <v>20.753599999999999</v>
      </c>
      <c r="C187" s="1">
        <v>49.387599999999999</v>
      </c>
      <c r="D187" s="1" t="s">
        <v>257</v>
      </c>
      <c r="E187" s="1" t="s">
        <v>159</v>
      </c>
      <c r="F187" s="1" t="s">
        <v>258</v>
      </c>
      <c r="G187" s="1" t="s">
        <v>276</v>
      </c>
      <c r="H187" s="1" t="s">
        <v>283</v>
      </c>
      <c r="I187" s="1">
        <v>75</v>
      </c>
      <c r="J187" s="1">
        <v>12.991803278688524</v>
      </c>
      <c r="K187" s="1" t="s">
        <v>31</v>
      </c>
      <c r="L187">
        <v>53</v>
      </c>
      <c r="M187">
        <v>40.799999999999997</v>
      </c>
      <c r="N187">
        <v>11.4</v>
      </c>
      <c r="O187">
        <v>7043</v>
      </c>
    </row>
    <row r="188" spans="1:15" x14ac:dyDescent="0.25">
      <c r="A188" s="1" t="s">
        <v>292</v>
      </c>
      <c r="B188" s="1">
        <v>20.8963</v>
      </c>
      <c r="C188" s="1">
        <v>49.357900000000001</v>
      </c>
      <c r="D188" s="1" t="s">
        <v>278</v>
      </c>
      <c r="E188" s="1" t="s">
        <v>159</v>
      </c>
      <c r="F188" s="1" t="s">
        <v>258</v>
      </c>
      <c r="G188" s="1" t="s">
        <v>276</v>
      </c>
      <c r="H188" s="1" t="s">
        <v>279</v>
      </c>
      <c r="I188" s="1">
        <v>75</v>
      </c>
      <c r="J188" s="1">
        <v>12.639344262295081</v>
      </c>
      <c r="K188" s="1" t="s">
        <v>31</v>
      </c>
      <c r="L188">
        <v>53</v>
      </c>
      <c r="M188">
        <v>40.799999999999997</v>
      </c>
      <c r="N188">
        <v>11.4</v>
      </c>
      <c r="O188">
        <v>7043</v>
      </c>
    </row>
    <row r="189" spans="1:15" x14ac:dyDescent="0.25">
      <c r="A189" s="1" t="s">
        <v>293</v>
      </c>
      <c r="B189" s="1">
        <v>20.781099999999999</v>
      </c>
      <c r="C189" s="1">
        <v>49.578000000000003</v>
      </c>
      <c r="D189" s="1" t="s">
        <v>257</v>
      </c>
      <c r="E189" s="1" t="s">
        <v>159</v>
      </c>
      <c r="F189" s="1" t="s">
        <v>258</v>
      </c>
      <c r="G189" s="1" t="s">
        <v>276</v>
      </c>
      <c r="H189" s="1" t="s">
        <v>293</v>
      </c>
      <c r="I189" s="1">
        <v>35</v>
      </c>
      <c r="J189" s="1">
        <v>17.740437158469945</v>
      </c>
      <c r="K189" s="1" t="s">
        <v>18</v>
      </c>
      <c r="L189">
        <v>53</v>
      </c>
      <c r="M189">
        <v>40.799999999999997</v>
      </c>
      <c r="N189">
        <v>11.4</v>
      </c>
      <c r="O189">
        <v>7043</v>
      </c>
    </row>
    <row r="190" spans="1:15" x14ac:dyDescent="0.25">
      <c r="A190" s="1" t="s">
        <v>294</v>
      </c>
      <c r="B190" s="1">
        <v>20.83</v>
      </c>
      <c r="C190" s="1">
        <v>49.593000000000004</v>
      </c>
      <c r="D190" s="1" t="s">
        <v>257</v>
      </c>
      <c r="E190" s="1" t="s">
        <v>159</v>
      </c>
      <c r="F190" s="1" t="s">
        <v>258</v>
      </c>
      <c r="G190" s="1" t="s">
        <v>276</v>
      </c>
      <c r="H190" s="1" t="s">
        <v>293</v>
      </c>
      <c r="I190" s="1">
        <v>35</v>
      </c>
      <c r="J190" s="1">
        <v>17.740437158469945</v>
      </c>
      <c r="K190" s="1" t="s">
        <v>18</v>
      </c>
      <c r="L190">
        <v>53</v>
      </c>
      <c r="M190">
        <v>40.799999999999997</v>
      </c>
      <c r="N190">
        <v>11.4</v>
      </c>
      <c r="O190">
        <v>7043</v>
      </c>
    </row>
    <row r="191" spans="1:15" x14ac:dyDescent="0.25">
      <c r="A191" s="1" t="s">
        <v>295</v>
      </c>
      <c r="B191" s="1">
        <v>20.7559</v>
      </c>
      <c r="C191" s="1">
        <v>49.402299999999997</v>
      </c>
      <c r="D191" s="1" t="s">
        <v>257</v>
      </c>
      <c r="E191" s="1" t="s">
        <v>159</v>
      </c>
      <c r="F191" s="1" t="s">
        <v>258</v>
      </c>
      <c r="G191" s="1" t="s">
        <v>276</v>
      </c>
      <c r="H191" s="1" t="s">
        <v>283</v>
      </c>
      <c r="I191" s="1">
        <v>35</v>
      </c>
      <c r="J191" s="1">
        <v>17.598360655737704</v>
      </c>
      <c r="K191" s="1" t="s">
        <v>18</v>
      </c>
      <c r="L191">
        <v>53</v>
      </c>
      <c r="M191">
        <v>40.799999999999997</v>
      </c>
      <c r="N191">
        <v>11.4</v>
      </c>
      <c r="O191">
        <v>7043</v>
      </c>
    </row>
    <row r="192" spans="1:15" x14ac:dyDescent="0.25">
      <c r="A192" s="1" t="s">
        <v>296</v>
      </c>
      <c r="B192" s="1">
        <v>20.819900000000001</v>
      </c>
      <c r="C192" s="1">
        <v>49.341999999999999</v>
      </c>
      <c r="D192" s="1" t="s">
        <v>257</v>
      </c>
      <c r="E192" s="1" t="s">
        <v>159</v>
      </c>
      <c r="F192" s="1" t="s">
        <v>258</v>
      </c>
      <c r="G192" s="1" t="s">
        <v>276</v>
      </c>
      <c r="H192" s="1" t="s">
        <v>279</v>
      </c>
      <c r="I192" s="1">
        <v>35</v>
      </c>
      <c r="J192" s="1">
        <v>13</v>
      </c>
      <c r="K192" s="1" t="s">
        <v>16</v>
      </c>
      <c r="L192">
        <v>53</v>
      </c>
      <c r="M192">
        <v>40.799999999999997</v>
      </c>
      <c r="N192">
        <v>11.4</v>
      </c>
      <c r="O192">
        <v>7043</v>
      </c>
    </row>
    <row r="193" spans="1:15" x14ac:dyDescent="0.25">
      <c r="A193" s="1" t="s">
        <v>297</v>
      </c>
      <c r="B193" s="1">
        <v>20.785599999999999</v>
      </c>
      <c r="C193" s="1">
        <v>49.367800000000003</v>
      </c>
      <c r="D193" s="1" t="s">
        <v>257</v>
      </c>
      <c r="E193" s="1" t="s">
        <v>159</v>
      </c>
      <c r="F193" s="1" t="s">
        <v>258</v>
      </c>
      <c r="G193" s="1" t="s">
        <v>276</v>
      </c>
      <c r="H193" s="1" t="s">
        <v>279</v>
      </c>
      <c r="I193" s="1">
        <v>15</v>
      </c>
      <c r="J193" s="1">
        <v>13.005464480874316</v>
      </c>
      <c r="K193" s="1" t="s">
        <v>18</v>
      </c>
      <c r="L193">
        <v>53</v>
      </c>
      <c r="M193">
        <v>40.799999999999997</v>
      </c>
      <c r="N193">
        <v>11.4</v>
      </c>
      <c r="O193">
        <v>7043</v>
      </c>
    </row>
    <row r="194" spans="1:15" x14ac:dyDescent="0.25">
      <c r="A194" s="1" t="s">
        <v>298</v>
      </c>
      <c r="B194" s="1">
        <v>20.851500000000001</v>
      </c>
      <c r="C194" s="1">
        <v>49.346600000000002</v>
      </c>
      <c r="D194" s="1" t="s">
        <v>257</v>
      </c>
      <c r="E194" s="1" t="s">
        <v>159</v>
      </c>
      <c r="F194" s="1" t="s">
        <v>258</v>
      </c>
      <c r="G194" s="1" t="s">
        <v>276</v>
      </c>
      <c r="H194" s="1" t="s">
        <v>279</v>
      </c>
      <c r="I194" s="1">
        <v>15</v>
      </c>
      <c r="J194" s="1">
        <v>13</v>
      </c>
      <c r="K194" s="1" t="s">
        <v>18</v>
      </c>
      <c r="L194">
        <v>53</v>
      </c>
      <c r="M194">
        <v>40.799999999999997</v>
      </c>
      <c r="N194">
        <v>11.4</v>
      </c>
      <c r="O194">
        <v>7043</v>
      </c>
    </row>
    <row r="195" spans="1:15" x14ac:dyDescent="0.25">
      <c r="A195" s="1" t="s">
        <v>299</v>
      </c>
      <c r="B195" s="1">
        <v>20.942900000000002</v>
      </c>
      <c r="C195" s="1">
        <v>49.369599999999998</v>
      </c>
      <c r="D195" s="1" t="s">
        <v>278</v>
      </c>
      <c r="E195" s="1" t="s">
        <v>159</v>
      </c>
      <c r="F195" s="1" t="s">
        <v>258</v>
      </c>
      <c r="G195" s="1" t="s">
        <v>276</v>
      </c>
      <c r="H195" s="1" t="s">
        <v>279</v>
      </c>
      <c r="I195" s="1">
        <v>15</v>
      </c>
      <c r="J195" s="1">
        <v>7.972677595628415</v>
      </c>
      <c r="K195" s="1" t="s">
        <v>16</v>
      </c>
      <c r="L195">
        <v>53</v>
      </c>
      <c r="M195">
        <v>40.799999999999997</v>
      </c>
      <c r="N195">
        <v>11.4</v>
      </c>
      <c r="O195">
        <v>7043</v>
      </c>
    </row>
    <row r="196" spans="1:15" x14ac:dyDescent="0.25">
      <c r="A196" s="1" t="s">
        <v>300</v>
      </c>
      <c r="B196" s="1">
        <v>20.994599999999998</v>
      </c>
      <c r="C196" s="1">
        <v>49.675199999999997</v>
      </c>
      <c r="D196" s="1" t="s">
        <v>12</v>
      </c>
      <c r="E196" s="1" t="s">
        <v>159</v>
      </c>
      <c r="F196" s="1" t="s">
        <v>258</v>
      </c>
      <c r="G196" s="1" t="s">
        <v>276</v>
      </c>
      <c r="H196" s="1" t="s">
        <v>275</v>
      </c>
      <c r="I196" s="1">
        <v>5</v>
      </c>
      <c r="J196" s="1">
        <v>0.61748633879781423</v>
      </c>
      <c r="K196" s="1" t="s">
        <v>18</v>
      </c>
      <c r="L196">
        <v>53</v>
      </c>
      <c r="M196">
        <v>40.799999999999997</v>
      </c>
      <c r="N196">
        <v>11.4</v>
      </c>
      <c r="O196">
        <v>7043</v>
      </c>
    </row>
    <row r="197" spans="1:15" x14ac:dyDescent="0.25">
      <c r="A197" s="1" t="s">
        <v>258</v>
      </c>
      <c r="B197" s="2">
        <v>20.703099999999999</v>
      </c>
      <c r="C197" s="2">
        <v>49.606699999999996</v>
      </c>
      <c r="D197" s="1" t="s">
        <v>301</v>
      </c>
      <c r="E197" s="1" t="s">
        <v>159</v>
      </c>
      <c r="F197" s="1" t="s">
        <v>258</v>
      </c>
      <c r="G197" s="1" t="s">
        <v>302</v>
      </c>
      <c r="H197" s="1" t="s">
        <v>258</v>
      </c>
      <c r="I197" s="1">
        <v>2000</v>
      </c>
      <c r="J197" s="3">
        <v>35.759562841530055</v>
      </c>
      <c r="K197" s="1">
        <v>55</v>
      </c>
      <c r="L197">
        <v>53</v>
      </c>
      <c r="M197">
        <v>40.799999999999997</v>
      </c>
      <c r="N197">
        <v>11.4</v>
      </c>
      <c r="O197">
        <v>7043</v>
      </c>
    </row>
    <row r="198" spans="1:15" x14ac:dyDescent="0.25">
      <c r="A198" s="1" t="s">
        <v>303</v>
      </c>
      <c r="B198" s="1">
        <v>20.678927000000002</v>
      </c>
      <c r="C198" s="1">
        <v>49.597296</v>
      </c>
      <c r="D198" s="1" t="s">
        <v>304</v>
      </c>
      <c r="E198" s="1" t="s">
        <v>159</v>
      </c>
      <c r="F198" s="1" t="s">
        <v>258</v>
      </c>
      <c r="G198" s="1" t="s">
        <v>302</v>
      </c>
      <c r="H198" s="1" t="s">
        <v>258</v>
      </c>
      <c r="I198" s="1">
        <v>35</v>
      </c>
      <c r="J198" s="1">
        <v>26.308743169398905</v>
      </c>
      <c r="K198" s="1" t="s">
        <v>18</v>
      </c>
      <c r="L198">
        <v>53</v>
      </c>
      <c r="M198">
        <v>40.799999999999997</v>
      </c>
      <c r="N198">
        <v>11.4</v>
      </c>
      <c r="O198">
        <v>7043</v>
      </c>
    </row>
    <row r="199" spans="1:15" x14ac:dyDescent="0.25">
      <c r="A199" s="1" t="s">
        <v>305</v>
      </c>
      <c r="B199" s="1">
        <v>20.660399999999999</v>
      </c>
      <c r="C199" s="1">
        <v>49.586100000000002</v>
      </c>
      <c r="D199" s="1" t="s">
        <v>257</v>
      </c>
      <c r="E199" s="1" t="s">
        <v>159</v>
      </c>
      <c r="F199" s="1" t="s">
        <v>258</v>
      </c>
      <c r="G199" s="1" t="s">
        <v>302</v>
      </c>
      <c r="H199" s="1" t="s">
        <v>258</v>
      </c>
      <c r="I199" s="1">
        <v>35</v>
      </c>
      <c r="J199" s="1">
        <v>26.303278688524589</v>
      </c>
      <c r="K199" s="1" t="s">
        <v>18</v>
      </c>
      <c r="L199">
        <v>53</v>
      </c>
      <c r="M199">
        <v>40.799999999999997</v>
      </c>
      <c r="N199">
        <v>11.4</v>
      </c>
      <c r="O199">
        <v>7043</v>
      </c>
    </row>
    <row r="200" spans="1:15" x14ac:dyDescent="0.25">
      <c r="A200" s="1" t="s">
        <v>306</v>
      </c>
      <c r="B200" s="1">
        <v>20.723163</v>
      </c>
      <c r="C200" s="1">
        <v>49.598712999999996</v>
      </c>
      <c r="D200" s="1" t="s">
        <v>304</v>
      </c>
      <c r="E200" s="1" t="s">
        <v>159</v>
      </c>
      <c r="F200" s="1" t="s">
        <v>258</v>
      </c>
      <c r="G200" s="1" t="s">
        <v>302</v>
      </c>
      <c r="H200" s="1" t="s">
        <v>258</v>
      </c>
      <c r="I200" s="1">
        <v>15</v>
      </c>
      <c r="J200" s="1">
        <v>17.740437158469945</v>
      </c>
      <c r="K200" s="1" t="s">
        <v>18</v>
      </c>
      <c r="L200">
        <v>53</v>
      </c>
      <c r="M200">
        <v>40.799999999999997</v>
      </c>
      <c r="N200">
        <v>11.4</v>
      </c>
      <c r="O200">
        <v>7043</v>
      </c>
    </row>
    <row r="201" spans="1:15" x14ac:dyDescent="0.25">
      <c r="A201" s="1" t="s">
        <v>307</v>
      </c>
      <c r="B201" s="1">
        <v>20.744199999999999</v>
      </c>
      <c r="C201" s="1">
        <v>49.586799999999997</v>
      </c>
      <c r="D201" s="1" t="s">
        <v>257</v>
      </c>
      <c r="E201" s="1" t="s">
        <v>159</v>
      </c>
      <c r="F201" s="1" t="s">
        <v>258</v>
      </c>
      <c r="G201" s="1" t="s">
        <v>302</v>
      </c>
      <c r="H201" s="1" t="s">
        <v>258</v>
      </c>
      <c r="I201" s="1">
        <v>15</v>
      </c>
      <c r="J201" s="1">
        <v>17.740437158469945</v>
      </c>
      <c r="K201" s="1" t="s">
        <v>18</v>
      </c>
      <c r="L201">
        <v>53</v>
      </c>
      <c r="M201">
        <v>40.799999999999997</v>
      </c>
      <c r="N201">
        <v>11.4</v>
      </c>
      <c r="O201">
        <v>7043</v>
      </c>
    </row>
    <row r="202" spans="1:15" x14ac:dyDescent="0.25">
      <c r="A202" s="1" t="s">
        <v>308</v>
      </c>
      <c r="B202" s="1">
        <v>15.8247</v>
      </c>
      <c r="C202" s="1">
        <v>53.523299999999999</v>
      </c>
      <c r="D202" s="1" t="s">
        <v>83</v>
      </c>
      <c r="E202" s="1" t="s">
        <v>309</v>
      </c>
      <c r="F202" s="1" t="s">
        <v>310</v>
      </c>
      <c r="G202" s="1" t="s">
        <v>311</v>
      </c>
      <c r="H202" s="1" t="s">
        <v>308</v>
      </c>
      <c r="I202" s="1">
        <v>400</v>
      </c>
      <c r="J202" s="1">
        <v>12.459016393442623</v>
      </c>
      <c r="K202" s="1" t="s">
        <v>60</v>
      </c>
      <c r="L202">
        <v>20.420000000000002</v>
      </c>
      <c r="M202">
        <v>35.5</v>
      </c>
      <c r="N202">
        <v>16.100000000000001</v>
      </c>
      <c r="O202">
        <v>3125</v>
      </c>
    </row>
    <row r="203" spans="1:15" x14ac:dyDescent="0.25">
      <c r="A203" s="1" t="s">
        <v>312</v>
      </c>
      <c r="B203" s="1">
        <v>16.239000000000001</v>
      </c>
      <c r="C203" s="1">
        <v>53.537500000000001</v>
      </c>
      <c r="D203" s="1" t="s">
        <v>83</v>
      </c>
      <c r="E203" s="1" t="s">
        <v>309</v>
      </c>
      <c r="F203" s="1" t="s">
        <v>310</v>
      </c>
      <c r="G203" s="1" t="s">
        <v>311</v>
      </c>
      <c r="H203" s="1" t="s">
        <v>312</v>
      </c>
      <c r="I203" s="1">
        <v>150</v>
      </c>
      <c r="J203" s="1">
        <v>12.819672131147541</v>
      </c>
      <c r="K203" s="1" t="s">
        <v>60</v>
      </c>
      <c r="L203">
        <v>20.420000000000002</v>
      </c>
      <c r="M203">
        <v>35.5</v>
      </c>
      <c r="N203">
        <v>16.100000000000001</v>
      </c>
      <c r="O203">
        <v>3125</v>
      </c>
    </row>
    <row r="204" spans="1:15" x14ac:dyDescent="0.25">
      <c r="A204" s="1" t="s">
        <v>313</v>
      </c>
      <c r="B204" s="1">
        <v>16.0185</v>
      </c>
      <c r="C204" s="1">
        <v>53.527999999999999</v>
      </c>
      <c r="D204" s="1" t="s">
        <v>314</v>
      </c>
      <c r="E204" s="1" t="s">
        <v>309</v>
      </c>
      <c r="F204" s="1" t="s">
        <v>310</v>
      </c>
      <c r="G204" s="1" t="s">
        <v>311</v>
      </c>
      <c r="H204" s="1" t="s">
        <v>313</v>
      </c>
      <c r="I204" s="1">
        <v>150</v>
      </c>
      <c r="J204" s="1">
        <v>12.448087431693988</v>
      </c>
      <c r="K204" s="1" t="s">
        <v>60</v>
      </c>
      <c r="L204">
        <v>20.420000000000002</v>
      </c>
      <c r="M204">
        <v>35.5</v>
      </c>
      <c r="N204">
        <v>16.100000000000001</v>
      </c>
      <c r="O204">
        <v>3125</v>
      </c>
    </row>
    <row r="205" spans="1:15" x14ac:dyDescent="0.25">
      <c r="A205" s="1" t="s">
        <v>315</v>
      </c>
      <c r="B205" s="1">
        <v>15.880699999999999</v>
      </c>
      <c r="C205" s="1">
        <v>53.277799999999999</v>
      </c>
      <c r="D205" s="1" t="s">
        <v>316</v>
      </c>
      <c r="E205" s="1" t="s">
        <v>309</v>
      </c>
      <c r="F205" s="1" t="s">
        <v>310</v>
      </c>
      <c r="G205" s="1" t="s">
        <v>311</v>
      </c>
      <c r="H205" s="1" t="s">
        <v>315</v>
      </c>
      <c r="I205" s="1">
        <v>125</v>
      </c>
      <c r="J205" s="1">
        <v>13.139344262295081</v>
      </c>
      <c r="K205" s="1" t="s">
        <v>28</v>
      </c>
      <c r="L205">
        <v>20.420000000000002</v>
      </c>
      <c r="M205">
        <v>35.5</v>
      </c>
      <c r="N205">
        <v>16.100000000000001</v>
      </c>
      <c r="O205">
        <v>3125</v>
      </c>
    </row>
    <row r="206" spans="1:15" x14ac:dyDescent="0.25">
      <c r="A206" s="1" t="s">
        <v>317</v>
      </c>
      <c r="B206" s="1">
        <v>15.8161</v>
      </c>
      <c r="C206" s="1">
        <v>53.293300000000002</v>
      </c>
      <c r="D206" s="1" t="s">
        <v>318</v>
      </c>
      <c r="E206" s="1" t="s">
        <v>309</v>
      </c>
      <c r="F206" s="1" t="s">
        <v>310</v>
      </c>
      <c r="G206" s="1" t="s">
        <v>311</v>
      </c>
      <c r="H206" s="1" t="s">
        <v>315</v>
      </c>
      <c r="I206" s="1">
        <v>35</v>
      </c>
      <c r="J206" s="1">
        <v>11.136612021857923</v>
      </c>
      <c r="K206" s="1" t="s">
        <v>16</v>
      </c>
      <c r="L206">
        <v>20.420000000000002</v>
      </c>
      <c r="M206">
        <v>35.5</v>
      </c>
      <c r="N206">
        <v>16.100000000000001</v>
      </c>
      <c r="O206">
        <v>3125</v>
      </c>
    </row>
    <row r="207" spans="1:15" x14ac:dyDescent="0.25">
      <c r="A207" s="1" t="s">
        <v>319</v>
      </c>
      <c r="B207" s="1">
        <v>15.774100000000001</v>
      </c>
      <c r="C207" s="1">
        <v>53.5167</v>
      </c>
      <c r="D207" s="1" t="s">
        <v>83</v>
      </c>
      <c r="E207" s="1" t="s">
        <v>309</v>
      </c>
      <c r="F207" s="1" t="s">
        <v>310</v>
      </c>
      <c r="G207" s="1" t="s">
        <v>311</v>
      </c>
      <c r="H207" s="1" t="s">
        <v>308</v>
      </c>
      <c r="I207" s="1">
        <v>15</v>
      </c>
      <c r="J207" s="1">
        <v>12.33879781420765</v>
      </c>
      <c r="K207" s="1" t="s">
        <v>18</v>
      </c>
      <c r="L207">
        <v>20.420000000000002</v>
      </c>
      <c r="M207">
        <v>35.5</v>
      </c>
      <c r="N207">
        <v>16.100000000000001</v>
      </c>
      <c r="O207">
        <v>3125</v>
      </c>
    </row>
    <row r="208" spans="1:15" x14ac:dyDescent="0.25">
      <c r="A208" s="1" t="s">
        <v>320</v>
      </c>
      <c r="B208" s="1">
        <v>15.9513</v>
      </c>
      <c r="C208" s="1">
        <v>53.5244</v>
      </c>
      <c r="D208" s="1" t="s">
        <v>83</v>
      </c>
      <c r="E208" s="1" t="s">
        <v>309</v>
      </c>
      <c r="F208" s="1" t="s">
        <v>310</v>
      </c>
      <c r="G208" s="1" t="s">
        <v>311</v>
      </c>
      <c r="H208" s="1" t="s">
        <v>313</v>
      </c>
      <c r="I208" s="1">
        <v>15</v>
      </c>
      <c r="J208" s="1">
        <v>11.480874316939891</v>
      </c>
      <c r="K208" s="1" t="s">
        <v>18</v>
      </c>
      <c r="L208">
        <v>20.420000000000002</v>
      </c>
      <c r="M208">
        <v>35.5</v>
      </c>
      <c r="N208">
        <v>16.100000000000001</v>
      </c>
      <c r="O208">
        <v>3125</v>
      </c>
    </row>
    <row r="209" spans="1:15" x14ac:dyDescent="0.25">
      <c r="A209" s="1" t="s">
        <v>321</v>
      </c>
      <c r="B209" s="1">
        <v>15.8926</v>
      </c>
      <c r="C209" s="1">
        <v>53.517099999999999</v>
      </c>
      <c r="D209" s="1" t="s">
        <v>83</v>
      </c>
      <c r="E209" s="1" t="s">
        <v>309</v>
      </c>
      <c r="F209" s="1" t="s">
        <v>310</v>
      </c>
      <c r="G209" s="1" t="s">
        <v>311</v>
      </c>
      <c r="H209" s="1" t="s">
        <v>308</v>
      </c>
      <c r="I209" s="1">
        <v>15</v>
      </c>
      <c r="J209" s="1">
        <v>11.480874316939891</v>
      </c>
      <c r="K209" s="1" t="s">
        <v>18</v>
      </c>
      <c r="L209">
        <v>20.420000000000002</v>
      </c>
      <c r="M209">
        <v>35.5</v>
      </c>
      <c r="N209">
        <v>16.100000000000001</v>
      </c>
      <c r="O209">
        <v>3125</v>
      </c>
    </row>
    <row r="210" spans="1:15" x14ac:dyDescent="0.25">
      <c r="A210" s="1" t="s">
        <v>322</v>
      </c>
      <c r="B210" s="1">
        <v>16.143699999999999</v>
      </c>
      <c r="C210" s="1">
        <v>53.524799999999999</v>
      </c>
      <c r="D210" s="1" t="s">
        <v>83</v>
      </c>
      <c r="E210" s="1" t="s">
        <v>309</v>
      </c>
      <c r="F210" s="1" t="s">
        <v>310</v>
      </c>
      <c r="G210" s="1" t="s">
        <v>311</v>
      </c>
      <c r="H210" s="1" t="s">
        <v>312</v>
      </c>
      <c r="I210" s="1">
        <v>15</v>
      </c>
      <c r="J210" s="1">
        <v>11.480874316939891</v>
      </c>
      <c r="K210" s="1" t="s">
        <v>18</v>
      </c>
      <c r="L210">
        <v>20.420000000000002</v>
      </c>
      <c r="M210">
        <v>35.5</v>
      </c>
      <c r="N210">
        <v>16.100000000000001</v>
      </c>
      <c r="O210">
        <v>3125</v>
      </c>
    </row>
    <row r="211" spans="1:15" x14ac:dyDescent="0.25">
      <c r="A211" s="1" t="s">
        <v>323</v>
      </c>
      <c r="B211" s="1">
        <v>15.9544</v>
      </c>
      <c r="C211" s="1">
        <v>53.256500000000003</v>
      </c>
      <c r="D211" s="1" t="s">
        <v>318</v>
      </c>
      <c r="E211" s="1" t="s">
        <v>309</v>
      </c>
      <c r="F211" s="1" t="s">
        <v>310</v>
      </c>
      <c r="G211" s="1" t="s">
        <v>311</v>
      </c>
      <c r="H211" s="1" t="s">
        <v>315</v>
      </c>
      <c r="I211" s="1">
        <v>15</v>
      </c>
      <c r="J211" s="1">
        <v>10.060109289617486</v>
      </c>
      <c r="K211" s="1" t="s">
        <v>18</v>
      </c>
      <c r="L211">
        <v>20.420000000000002</v>
      </c>
      <c r="M211">
        <v>35.5</v>
      </c>
      <c r="N211">
        <v>16.100000000000001</v>
      </c>
      <c r="O211">
        <v>3125</v>
      </c>
    </row>
    <row r="212" spans="1:15" x14ac:dyDescent="0.25">
      <c r="A212" s="1" t="s">
        <v>324</v>
      </c>
      <c r="B212" s="1">
        <v>16.0778</v>
      </c>
      <c r="C212" s="1">
        <v>53.528300000000002</v>
      </c>
      <c r="D212" s="1" t="s">
        <v>83</v>
      </c>
      <c r="E212" s="1" t="s">
        <v>309</v>
      </c>
      <c r="F212" s="1" t="s">
        <v>310</v>
      </c>
      <c r="G212" s="1" t="s">
        <v>311</v>
      </c>
      <c r="H212" s="1" t="s">
        <v>313</v>
      </c>
      <c r="I212" s="1">
        <v>5</v>
      </c>
      <c r="J212" s="1">
        <v>11.480874316939891</v>
      </c>
      <c r="K212" s="1" t="s">
        <v>18</v>
      </c>
      <c r="L212">
        <v>20.420000000000002</v>
      </c>
      <c r="M212">
        <v>35.5</v>
      </c>
      <c r="N212">
        <v>16.100000000000001</v>
      </c>
      <c r="O212">
        <v>3125</v>
      </c>
    </row>
    <row r="213" spans="1:15" x14ac:dyDescent="0.25">
      <c r="A213" s="1" t="s">
        <v>325</v>
      </c>
      <c r="B213" s="1">
        <v>16.319800000000001</v>
      </c>
      <c r="C213" s="1">
        <v>53.557600000000001</v>
      </c>
      <c r="D213" s="1" t="s">
        <v>83</v>
      </c>
      <c r="E213" s="1" t="s">
        <v>309</v>
      </c>
      <c r="F213" s="1" t="s">
        <v>310</v>
      </c>
      <c r="G213" s="1" t="s">
        <v>311</v>
      </c>
      <c r="H213" s="1" t="s">
        <v>312</v>
      </c>
      <c r="I213" s="1">
        <v>5</v>
      </c>
      <c r="J213" s="1">
        <v>10.491803278688524</v>
      </c>
      <c r="K213" s="1" t="s">
        <v>18</v>
      </c>
      <c r="L213">
        <v>20.420000000000002</v>
      </c>
      <c r="M213">
        <v>35.5</v>
      </c>
      <c r="N213">
        <v>16.100000000000001</v>
      </c>
      <c r="O213">
        <v>3125</v>
      </c>
    </row>
    <row r="214" spans="1:15" x14ac:dyDescent="0.25">
      <c r="A214" s="1" t="s">
        <v>326</v>
      </c>
      <c r="B214" s="1">
        <v>15.7727</v>
      </c>
      <c r="C214" s="1">
        <v>53.781100000000002</v>
      </c>
      <c r="D214" s="1" t="s">
        <v>327</v>
      </c>
      <c r="E214" s="1" t="s">
        <v>309</v>
      </c>
      <c r="F214" s="1" t="s">
        <v>310</v>
      </c>
      <c r="G214" s="1" t="s">
        <v>328</v>
      </c>
      <c r="H214" s="1" t="s">
        <v>326</v>
      </c>
      <c r="I214" s="1">
        <v>600</v>
      </c>
      <c r="J214" s="1">
        <v>25.546448087431695</v>
      </c>
      <c r="K214" s="1" t="s">
        <v>60</v>
      </c>
      <c r="L214">
        <v>42.75</v>
      </c>
      <c r="M214">
        <v>42</v>
      </c>
      <c r="N214">
        <v>13.4</v>
      </c>
      <c r="O214">
        <v>5547</v>
      </c>
    </row>
    <row r="215" spans="1:15" x14ac:dyDescent="0.25">
      <c r="A215" s="1" t="s">
        <v>329</v>
      </c>
      <c r="B215" s="1">
        <v>15.9529</v>
      </c>
      <c r="C215" s="1">
        <v>53.869799999999998</v>
      </c>
      <c r="D215" s="1" t="s">
        <v>97</v>
      </c>
      <c r="E215" s="1" t="s">
        <v>309</v>
      </c>
      <c r="F215" s="1" t="s">
        <v>310</v>
      </c>
      <c r="G215" s="1" t="s">
        <v>328</v>
      </c>
      <c r="H215" s="1" t="s">
        <v>329</v>
      </c>
      <c r="I215" s="1">
        <v>125</v>
      </c>
      <c r="J215" s="1">
        <v>13.587431693989071</v>
      </c>
      <c r="K215" s="1" t="s">
        <v>31</v>
      </c>
      <c r="L215">
        <v>42.75</v>
      </c>
      <c r="M215">
        <v>42</v>
      </c>
      <c r="N215">
        <v>13.4</v>
      </c>
      <c r="O215">
        <v>5547</v>
      </c>
    </row>
    <row r="216" spans="1:15" x14ac:dyDescent="0.25">
      <c r="A216" s="1" t="s">
        <v>330</v>
      </c>
      <c r="B216" s="1">
        <v>53.770499000000001</v>
      </c>
      <c r="C216" s="1">
        <v>15.765257999999999</v>
      </c>
      <c r="D216" s="1" t="s">
        <v>97</v>
      </c>
      <c r="E216" s="1" t="s">
        <v>331</v>
      </c>
      <c r="F216" s="1" t="s">
        <v>310</v>
      </c>
      <c r="G216" s="1" t="s">
        <v>328</v>
      </c>
      <c r="H216" s="1" t="s">
        <v>326</v>
      </c>
      <c r="I216" s="1">
        <v>75</v>
      </c>
      <c r="J216" s="1">
        <v>10.428961748633879</v>
      </c>
      <c r="K216" s="1" t="s">
        <v>31</v>
      </c>
      <c r="L216">
        <v>42.75</v>
      </c>
      <c r="M216">
        <v>42</v>
      </c>
      <c r="N216">
        <v>13.4</v>
      </c>
      <c r="O216">
        <v>5547</v>
      </c>
    </row>
    <row r="217" spans="1:15" x14ac:dyDescent="0.25">
      <c r="A217" s="1" t="s">
        <v>332</v>
      </c>
      <c r="B217" s="1">
        <v>15.870799999999999</v>
      </c>
      <c r="C217" s="1">
        <v>53.829599999999999</v>
      </c>
      <c r="D217" s="1" t="s">
        <v>97</v>
      </c>
      <c r="E217" s="1" t="s">
        <v>309</v>
      </c>
      <c r="F217" s="1" t="s">
        <v>310</v>
      </c>
      <c r="G217" s="1" t="s">
        <v>328</v>
      </c>
      <c r="H217" s="1" t="s">
        <v>329</v>
      </c>
      <c r="I217" s="1">
        <v>5</v>
      </c>
      <c r="J217" s="1">
        <v>6.7431693989071038</v>
      </c>
      <c r="K217" s="1" t="s">
        <v>18</v>
      </c>
      <c r="L217">
        <v>42.75</v>
      </c>
      <c r="M217">
        <v>42</v>
      </c>
      <c r="N217">
        <v>13.4</v>
      </c>
      <c r="O217">
        <v>5547</v>
      </c>
    </row>
    <row r="218" spans="1:15" x14ac:dyDescent="0.25">
      <c r="A218" s="1" t="s">
        <v>333</v>
      </c>
      <c r="B218" s="1">
        <v>16.484200000000001</v>
      </c>
      <c r="C218" s="1">
        <v>53.274999999999999</v>
      </c>
      <c r="D218" s="1" t="s">
        <v>318</v>
      </c>
      <c r="E218" s="1" t="s">
        <v>309</v>
      </c>
      <c r="F218" s="1" t="s">
        <v>310</v>
      </c>
      <c r="G218" s="1" t="s">
        <v>334</v>
      </c>
      <c r="H218" s="1" t="s">
        <v>333</v>
      </c>
      <c r="I218" s="1">
        <v>400</v>
      </c>
      <c r="J218" s="1">
        <v>12.076502732240437</v>
      </c>
      <c r="K218" s="1" t="s">
        <v>60</v>
      </c>
      <c r="L218">
        <v>49.38</v>
      </c>
      <c r="M218">
        <v>37.200000000000003</v>
      </c>
      <c r="N218">
        <v>9.6</v>
      </c>
      <c r="O218">
        <v>7701</v>
      </c>
    </row>
    <row r="219" spans="1:15" x14ac:dyDescent="0.25">
      <c r="A219" s="1" t="s">
        <v>335</v>
      </c>
      <c r="B219" s="1">
        <v>16.1753</v>
      </c>
      <c r="C219" s="1">
        <v>53.219000000000001</v>
      </c>
      <c r="D219" s="1" t="s">
        <v>318</v>
      </c>
      <c r="E219" s="1" t="s">
        <v>309</v>
      </c>
      <c r="F219" s="1" t="s">
        <v>310</v>
      </c>
      <c r="G219" s="1" t="s">
        <v>334</v>
      </c>
      <c r="H219" s="1" t="s">
        <v>336</v>
      </c>
      <c r="I219" s="1">
        <v>125</v>
      </c>
      <c r="J219" s="1">
        <v>12.051912568306012</v>
      </c>
      <c r="K219" s="1" t="s">
        <v>31</v>
      </c>
      <c r="L219">
        <v>49.38</v>
      </c>
      <c r="M219">
        <v>37.200000000000003</v>
      </c>
      <c r="N219">
        <v>9.6</v>
      </c>
      <c r="O219">
        <v>7701</v>
      </c>
    </row>
    <row r="220" spans="1:15" x14ac:dyDescent="0.25">
      <c r="A220" s="1" t="s">
        <v>337</v>
      </c>
      <c r="B220" s="1">
        <v>16.458600000000001</v>
      </c>
      <c r="C220" s="1">
        <v>53.277000000000001</v>
      </c>
      <c r="D220" s="1" t="s">
        <v>318</v>
      </c>
      <c r="E220" s="1" t="s">
        <v>309</v>
      </c>
      <c r="F220" s="1" t="s">
        <v>310</v>
      </c>
      <c r="G220" s="1" t="s">
        <v>334</v>
      </c>
      <c r="H220" s="1" t="s">
        <v>333</v>
      </c>
      <c r="I220" s="1">
        <v>75</v>
      </c>
      <c r="J220" s="1">
        <v>10.060109289617486</v>
      </c>
      <c r="K220" s="1" t="s">
        <v>31</v>
      </c>
      <c r="L220">
        <v>49.38</v>
      </c>
      <c r="M220">
        <v>37.200000000000003</v>
      </c>
      <c r="N220">
        <v>9.6</v>
      </c>
      <c r="O220">
        <v>7701</v>
      </c>
    </row>
    <row r="221" spans="1:15" x14ac:dyDescent="0.25">
      <c r="A221" s="1" t="s">
        <v>338</v>
      </c>
      <c r="B221" s="1">
        <v>16.107900000000001</v>
      </c>
      <c r="C221" s="1">
        <v>53.2256</v>
      </c>
      <c r="D221" s="1" t="s">
        <v>318</v>
      </c>
      <c r="E221" s="1" t="s">
        <v>309</v>
      </c>
      <c r="F221" s="1" t="s">
        <v>310</v>
      </c>
      <c r="G221" s="1" t="s">
        <v>334</v>
      </c>
      <c r="H221" s="1" t="s">
        <v>336</v>
      </c>
      <c r="I221" s="1">
        <v>15</v>
      </c>
      <c r="J221" s="1">
        <v>10.060109289617486</v>
      </c>
      <c r="K221" s="1" t="s">
        <v>18</v>
      </c>
      <c r="L221">
        <v>49.38</v>
      </c>
      <c r="M221">
        <v>37.200000000000003</v>
      </c>
      <c r="N221">
        <v>9.6</v>
      </c>
      <c r="O221">
        <v>7701</v>
      </c>
    </row>
    <row r="222" spans="1:15" x14ac:dyDescent="0.25">
      <c r="A222" s="1" t="s">
        <v>339</v>
      </c>
      <c r="B222" s="1">
        <v>16.282599999999999</v>
      </c>
      <c r="C222" s="1">
        <v>53.229399999999998</v>
      </c>
      <c r="D222" s="1" t="s">
        <v>318</v>
      </c>
      <c r="E222" s="1" t="s">
        <v>309</v>
      </c>
      <c r="F222" s="1" t="s">
        <v>310</v>
      </c>
      <c r="G222" s="1" t="s">
        <v>334</v>
      </c>
      <c r="H222" s="1" t="s">
        <v>333</v>
      </c>
      <c r="I222" s="1">
        <v>15</v>
      </c>
      <c r="J222" s="1">
        <v>10.060109289617486</v>
      </c>
      <c r="K222" s="1" t="s">
        <v>18</v>
      </c>
      <c r="L222">
        <v>49.38</v>
      </c>
      <c r="M222">
        <v>37.200000000000003</v>
      </c>
      <c r="N222">
        <v>9.6</v>
      </c>
      <c r="O222">
        <v>7701</v>
      </c>
    </row>
    <row r="223" spans="1:15" x14ac:dyDescent="0.25">
      <c r="A223" s="1" t="s">
        <v>340</v>
      </c>
      <c r="B223" s="1">
        <v>16.360900000000001</v>
      </c>
      <c r="C223" s="1">
        <v>53.243099999999998</v>
      </c>
      <c r="D223" s="1" t="s">
        <v>318</v>
      </c>
      <c r="E223" s="1" t="s">
        <v>309</v>
      </c>
      <c r="F223" s="1" t="s">
        <v>310</v>
      </c>
      <c r="G223" s="1" t="s">
        <v>334</v>
      </c>
      <c r="H223" s="1" t="s">
        <v>333</v>
      </c>
      <c r="I223" s="1">
        <v>15</v>
      </c>
      <c r="J223" s="1">
        <v>10.060109289617486</v>
      </c>
      <c r="K223" s="1" t="s">
        <v>18</v>
      </c>
      <c r="L223">
        <v>49.38</v>
      </c>
      <c r="M223">
        <v>37.200000000000003</v>
      </c>
      <c r="N223">
        <v>9.6</v>
      </c>
      <c r="O223">
        <v>7701</v>
      </c>
    </row>
    <row r="224" spans="1:15" x14ac:dyDescent="0.25">
      <c r="A224" s="1" t="s">
        <v>341</v>
      </c>
      <c r="B224" s="1">
        <v>16.524999999999999</v>
      </c>
      <c r="C224" s="1">
        <v>53.226500000000001</v>
      </c>
      <c r="D224" s="1" t="s">
        <v>318</v>
      </c>
      <c r="E224" s="1" t="s">
        <v>309</v>
      </c>
      <c r="F224" s="1" t="s">
        <v>310</v>
      </c>
      <c r="G224" s="1" t="s">
        <v>334</v>
      </c>
      <c r="H224" s="1" t="s">
        <v>333</v>
      </c>
      <c r="I224" s="1">
        <v>15</v>
      </c>
      <c r="J224" s="1">
        <v>9.5081967213114762</v>
      </c>
      <c r="K224" s="1" t="s">
        <v>18</v>
      </c>
      <c r="L224">
        <v>49.38</v>
      </c>
      <c r="M224">
        <v>37.200000000000003</v>
      </c>
      <c r="N224">
        <v>9.6</v>
      </c>
      <c r="O224">
        <v>7701</v>
      </c>
    </row>
    <row r="225" spans="1:15" x14ac:dyDescent="0.25">
      <c r="A225" s="1" t="s">
        <v>342</v>
      </c>
      <c r="B225" s="1">
        <v>16.057700000000001</v>
      </c>
      <c r="C225" s="1">
        <v>53.227800000000002</v>
      </c>
      <c r="D225" s="1" t="s">
        <v>318</v>
      </c>
      <c r="E225" s="1" t="s">
        <v>309</v>
      </c>
      <c r="F225" s="1" t="s">
        <v>310</v>
      </c>
      <c r="G225" s="1" t="s">
        <v>334</v>
      </c>
      <c r="H225" s="1" t="s">
        <v>336</v>
      </c>
      <c r="I225" s="1">
        <v>5</v>
      </c>
      <c r="J225" s="1">
        <v>10.060109289617486</v>
      </c>
      <c r="K225" s="1" t="s">
        <v>18</v>
      </c>
      <c r="L225">
        <v>49.38</v>
      </c>
      <c r="M225">
        <v>37.200000000000003</v>
      </c>
      <c r="N225">
        <v>9.6</v>
      </c>
      <c r="O225">
        <v>7701</v>
      </c>
    </row>
    <row r="226" spans="1:15" x14ac:dyDescent="0.25">
      <c r="A226" s="1" t="s">
        <v>343</v>
      </c>
      <c r="B226" s="2">
        <v>16.671199999999999</v>
      </c>
      <c r="C226" s="2">
        <v>54.355699999999999</v>
      </c>
      <c r="D226" s="1" t="s">
        <v>344</v>
      </c>
      <c r="E226" s="1" t="s">
        <v>309</v>
      </c>
      <c r="F226" s="1" t="s">
        <v>345</v>
      </c>
      <c r="G226" s="1" t="s">
        <v>346</v>
      </c>
      <c r="H226" s="1" t="s">
        <v>343</v>
      </c>
      <c r="I226" s="1">
        <v>1100</v>
      </c>
      <c r="J226" s="3">
        <v>46.907103825136609</v>
      </c>
      <c r="K226" s="1">
        <v>25</v>
      </c>
      <c r="L226">
        <v>52.39</v>
      </c>
      <c r="M226">
        <v>35</v>
      </c>
      <c r="N226">
        <v>13.6</v>
      </c>
      <c r="O226">
        <v>7019</v>
      </c>
    </row>
    <row r="227" spans="1:15" x14ac:dyDescent="0.25">
      <c r="A227" s="1" t="s">
        <v>347</v>
      </c>
      <c r="B227" s="1">
        <v>16.404399999999999</v>
      </c>
      <c r="C227" s="1">
        <v>54.417099999999998</v>
      </c>
      <c r="D227" s="1" t="s">
        <v>348</v>
      </c>
      <c r="E227" s="1" t="s">
        <v>309</v>
      </c>
      <c r="F227" s="1" t="s">
        <v>345</v>
      </c>
      <c r="G227" s="1" t="s">
        <v>346</v>
      </c>
      <c r="H227" s="1" t="s">
        <v>347</v>
      </c>
      <c r="I227" s="1">
        <v>150</v>
      </c>
      <c r="J227" s="1">
        <v>9.4480874316939882</v>
      </c>
      <c r="K227" s="1" t="s">
        <v>60</v>
      </c>
      <c r="L227">
        <v>52.39</v>
      </c>
      <c r="M227">
        <v>35</v>
      </c>
      <c r="N227">
        <v>13.6</v>
      </c>
      <c r="O227">
        <v>7019</v>
      </c>
    </row>
    <row r="228" spans="1:15" x14ac:dyDescent="0.25">
      <c r="A228" s="1" t="s">
        <v>349</v>
      </c>
      <c r="B228" s="1">
        <v>16.780200000000001</v>
      </c>
      <c r="C228" s="1">
        <v>54.403300000000002</v>
      </c>
      <c r="D228" s="1" t="s">
        <v>97</v>
      </c>
      <c r="E228" s="1" t="s">
        <v>309</v>
      </c>
      <c r="F228" s="1" t="s">
        <v>345</v>
      </c>
      <c r="G228" s="1" t="s">
        <v>346</v>
      </c>
      <c r="H228" s="1" t="s">
        <v>343</v>
      </c>
      <c r="I228" s="1">
        <v>75</v>
      </c>
      <c r="J228" s="1">
        <v>16.661202185792348</v>
      </c>
      <c r="K228" s="1" t="s">
        <v>16</v>
      </c>
      <c r="L228">
        <v>52.39</v>
      </c>
      <c r="M228">
        <v>35</v>
      </c>
      <c r="N228">
        <v>13.6</v>
      </c>
      <c r="O228">
        <v>7019</v>
      </c>
    </row>
    <row r="229" spans="1:15" x14ac:dyDescent="0.25">
      <c r="A229" s="1" t="s">
        <v>350</v>
      </c>
      <c r="B229" s="1">
        <v>16.386900000000001</v>
      </c>
      <c r="C229" s="1">
        <v>54.3033</v>
      </c>
      <c r="D229" s="1" t="s">
        <v>97</v>
      </c>
      <c r="E229" s="1" t="s">
        <v>309</v>
      </c>
      <c r="F229" s="1" t="s">
        <v>345</v>
      </c>
      <c r="G229" s="1" t="s">
        <v>346</v>
      </c>
      <c r="H229" s="1" t="s">
        <v>347</v>
      </c>
      <c r="I229" s="1">
        <v>75</v>
      </c>
      <c r="J229" s="1">
        <v>12.647540983606557</v>
      </c>
      <c r="K229" s="1" t="s">
        <v>31</v>
      </c>
      <c r="L229">
        <v>52.39</v>
      </c>
      <c r="M229">
        <v>35</v>
      </c>
      <c r="N229">
        <v>13.6</v>
      </c>
      <c r="O229">
        <v>7019</v>
      </c>
    </row>
    <row r="230" spans="1:15" x14ac:dyDescent="0.25">
      <c r="A230" s="1" t="s">
        <v>351</v>
      </c>
      <c r="B230" s="1">
        <v>16.535799999999998</v>
      </c>
      <c r="C230" s="1">
        <v>54.344999999999999</v>
      </c>
      <c r="D230" s="1" t="s">
        <v>97</v>
      </c>
      <c r="E230" s="1" t="s">
        <v>309</v>
      </c>
      <c r="F230" s="1" t="s">
        <v>345</v>
      </c>
      <c r="G230" s="1" t="s">
        <v>346</v>
      </c>
      <c r="H230" s="1" t="s">
        <v>352</v>
      </c>
      <c r="I230" s="1">
        <v>35</v>
      </c>
      <c r="J230" s="1">
        <v>12.650273224043715</v>
      </c>
      <c r="K230" s="1" t="s">
        <v>16</v>
      </c>
      <c r="L230">
        <v>52.39</v>
      </c>
      <c r="M230">
        <v>35</v>
      </c>
      <c r="N230">
        <v>13.6</v>
      </c>
      <c r="O230">
        <v>7019</v>
      </c>
    </row>
    <row r="231" spans="1:15" x14ac:dyDescent="0.25">
      <c r="A231" s="1" t="s">
        <v>353</v>
      </c>
      <c r="B231" s="1">
        <v>16.584099999999999</v>
      </c>
      <c r="C231" s="1">
        <v>54.372700000000002</v>
      </c>
      <c r="D231" s="1" t="s">
        <v>348</v>
      </c>
      <c r="E231" s="1" t="s">
        <v>309</v>
      </c>
      <c r="F231" s="1" t="s">
        <v>345</v>
      </c>
      <c r="G231" s="1" t="s">
        <v>346</v>
      </c>
      <c r="H231" s="1" t="s">
        <v>343</v>
      </c>
      <c r="I231" s="1">
        <v>35</v>
      </c>
      <c r="J231" s="1">
        <v>9.4480874316939882</v>
      </c>
      <c r="K231" s="1" t="s">
        <v>16</v>
      </c>
      <c r="L231">
        <v>52.39</v>
      </c>
      <c r="M231">
        <v>35</v>
      </c>
      <c r="N231">
        <v>13.6</v>
      </c>
      <c r="O231">
        <v>7019</v>
      </c>
    </row>
    <row r="232" spans="1:15" x14ac:dyDescent="0.25">
      <c r="A232" s="1" t="s">
        <v>354</v>
      </c>
      <c r="B232" s="1">
        <v>16.5258</v>
      </c>
      <c r="C232" s="1">
        <v>54.392499999999998</v>
      </c>
      <c r="D232" s="1" t="s">
        <v>348</v>
      </c>
      <c r="E232" s="1" t="s">
        <v>309</v>
      </c>
      <c r="F232" s="1" t="s">
        <v>345</v>
      </c>
      <c r="G232" s="1" t="s">
        <v>346</v>
      </c>
      <c r="H232" s="1" t="s">
        <v>347</v>
      </c>
      <c r="I232" s="1">
        <v>35</v>
      </c>
      <c r="J232" s="1">
        <v>9.4480874316939882</v>
      </c>
      <c r="K232" s="1" t="s">
        <v>16</v>
      </c>
      <c r="L232">
        <v>52.39</v>
      </c>
      <c r="M232">
        <v>35</v>
      </c>
      <c r="N232">
        <v>13.6</v>
      </c>
      <c r="O232">
        <v>7019</v>
      </c>
    </row>
    <row r="233" spans="1:15" x14ac:dyDescent="0.25">
      <c r="A233" s="1" t="s">
        <v>355</v>
      </c>
      <c r="B233" s="1">
        <v>16.487400000000001</v>
      </c>
      <c r="C233" s="1">
        <v>54.399500000000003</v>
      </c>
      <c r="D233" s="1" t="s">
        <v>348</v>
      </c>
      <c r="E233" s="1" t="s">
        <v>309</v>
      </c>
      <c r="F233" s="1" t="s">
        <v>345</v>
      </c>
      <c r="G233" s="1" t="s">
        <v>346</v>
      </c>
      <c r="H233" s="1" t="s">
        <v>347</v>
      </c>
      <c r="I233" s="1">
        <v>5</v>
      </c>
      <c r="J233" s="1">
        <v>9.4480874316939882</v>
      </c>
      <c r="K233" s="1" t="s">
        <v>18</v>
      </c>
      <c r="L233">
        <v>52.39</v>
      </c>
      <c r="M233">
        <v>35</v>
      </c>
      <c r="N233">
        <v>13.6</v>
      </c>
      <c r="O233">
        <v>7019</v>
      </c>
    </row>
    <row r="234" spans="1:15" x14ac:dyDescent="0.25">
      <c r="A234" s="1" t="s">
        <v>345</v>
      </c>
      <c r="B234" s="2">
        <v>17.016500000000001</v>
      </c>
      <c r="C234" s="2">
        <v>54.467300000000002</v>
      </c>
      <c r="D234" s="1" t="s">
        <v>356</v>
      </c>
      <c r="E234" s="1" t="s">
        <v>56</v>
      </c>
      <c r="F234" s="1" t="s">
        <v>345</v>
      </c>
      <c r="G234" s="1" t="s">
        <v>357</v>
      </c>
      <c r="H234" s="1" t="s">
        <v>345</v>
      </c>
      <c r="I234" s="1">
        <v>5700</v>
      </c>
      <c r="J234" s="3">
        <v>86.901639344262293</v>
      </c>
      <c r="K234" s="1">
        <v>65</v>
      </c>
      <c r="L234">
        <v>52.39</v>
      </c>
      <c r="M234">
        <v>35</v>
      </c>
      <c r="N234">
        <v>13.6</v>
      </c>
      <c r="O234">
        <v>7019</v>
      </c>
    </row>
    <row r="235" spans="1:15" x14ac:dyDescent="0.25">
      <c r="A235" s="1" t="s">
        <v>358</v>
      </c>
      <c r="B235" s="1">
        <v>17.017693999999999</v>
      </c>
      <c r="C235" s="1" t="s">
        <v>359</v>
      </c>
      <c r="D235" s="1">
        <v>405</v>
      </c>
      <c r="E235" s="1" t="s">
        <v>56</v>
      </c>
      <c r="F235" s="1" t="s">
        <v>345</v>
      </c>
      <c r="G235" s="1" t="s">
        <v>357</v>
      </c>
      <c r="H235" s="1" t="s">
        <v>345</v>
      </c>
      <c r="I235" s="1">
        <v>35</v>
      </c>
      <c r="J235" s="1">
        <v>16.797814207650273</v>
      </c>
      <c r="K235" s="1" t="s">
        <v>16</v>
      </c>
      <c r="L235">
        <v>52.39</v>
      </c>
      <c r="M235">
        <v>35</v>
      </c>
      <c r="N235">
        <v>13.6</v>
      </c>
      <c r="O235">
        <v>7019</v>
      </c>
    </row>
    <row r="236" spans="1:15" x14ac:dyDescent="0.25">
      <c r="A236" s="1" t="s">
        <v>360</v>
      </c>
      <c r="B236" s="2">
        <v>16.860499999999998</v>
      </c>
      <c r="C236" s="2">
        <v>54.579000000000001</v>
      </c>
      <c r="D236" s="1" t="s">
        <v>361</v>
      </c>
      <c r="E236" s="1" t="s">
        <v>56</v>
      </c>
      <c r="F236" s="1" t="s">
        <v>345</v>
      </c>
      <c r="G236" s="1" t="s">
        <v>362</v>
      </c>
      <c r="H236" s="1" t="s">
        <v>360</v>
      </c>
      <c r="I236" s="1">
        <v>1300</v>
      </c>
      <c r="J236" s="3">
        <v>20.866120218579233</v>
      </c>
      <c r="K236" s="1">
        <v>60</v>
      </c>
      <c r="L236">
        <v>52.39</v>
      </c>
      <c r="M236">
        <v>35</v>
      </c>
      <c r="N236">
        <v>13.6</v>
      </c>
      <c r="O236">
        <v>7019</v>
      </c>
    </row>
    <row r="237" spans="1:15" x14ac:dyDescent="0.25">
      <c r="A237" s="1" t="s">
        <v>363</v>
      </c>
      <c r="B237" s="1">
        <v>16.846</v>
      </c>
      <c r="C237" s="1">
        <v>54.58</v>
      </c>
      <c r="D237" s="1">
        <v>405</v>
      </c>
      <c r="E237" s="1" t="s">
        <v>56</v>
      </c>
      <c r="F237" s="1" t="s">
        <v>345</v>
      </c>
      <c r="G237" s="1" t="s">
        <v>362</v>
      </c>
      <c r="H237" s="1" t="s">
        <v>360</v>
      </c>
      <c r="I237" s="1">
        <v>600</v>
      </c>
      <c r="J237" s="1">
        <v>16.78688524590164</v>
      </c>
      <c r="K237" s="1" t="s">
        <v>60</v>
      </c>
      <c r="L237">
        <v>52.39</v>
      </c>
      <c r="M237">
        <v>35</v>
      </c>
      <c r="N237">
        <v>13.6</v>
      </c>
      <c r="O237">
        <v>7019</v>
      </c>
    </row>
    <row r="238" spans="1:15" x14ac:dyDescent="0.25">
      <c r="A238" s="1" t="s">
        <v>364</v>
      </c>
      <c r="B238" s="1">
        <v>17.487100000000002</v>
      </c>
      <c r="C238" s="1">
        <v>54.485100000000003</v>
      </c>
      <c r="D238" s="1" t="s">
        <v>97</v>
      </c>
      <c r="E238" s="1" t="s">
        <v>56</v>
      </c>
      <c r="F238" s="1" t="s">
        <v>345</v>
      </c>
      <c r="G238" s="1" t="s">
        <v>362</v>
      </c>
      <c r="H238" s="1" t="s">
        <v>364</v>
      </c>
      <c r="I238" s="1">
        <v>400</v>
      </c>
      <c r="J238" s="1">
        <v>14.672131147540984</v>
      </c>
      <c r="K238" s="1" t="s">
        <v>60</v>
      </c>
      <c r="L238">
        <v>52.39</v>
      </c>
      <c r="M238">
        <v>35</v>
      </c>
      <c r="N238">
        <v>13.6</v>
      </c>
      <c r="O238">
        <v>7019</v>
      </c>
    </row>
    <row r="239" spans="1:15" x14ac:dyDescent="0.25">
      <c r="A239" s="1" t="s">
        <v>365</v>
      </c>
      <c r="B239" s="1">
        <v>17.270700000000001</v>
      </c>
      <c r="C239" s="1">
        <v>54.497900000000001</v>
      </c>
      <c r="D239" s="1" t="s">
        <v>97</v>
      </c>
      <c r="E239" s="1" t="s">
        <v>56</v>
      </c>
      <c r="F239" s="1" t="s">
        <v>345</v>
      </c>
      <c r="G239" s="1" t="s">
        <v>362</v>
      </c>
      <c r="H239" s="1" t="s">
        <v>365</v>
      </c>
      <c r="I239" s="1">
        <v>175</v>
      </c>
      <c r="J239" s="1">
        <v>14.639344262295081</v>
      </c>
      <c r="K239" s="1" t="s">
        <v>28</v>
      </c>
      <c r="L239">
        <v>52.39</v>
      </c>
      <c r="M239">
        <v>35</v>
      </c>
      <c r="N239">
        <v>13.6</v>
      </c>
      <c r="O239">
        <v>7019</v>
      </c>
    </row>
    <row r="240" spans="1:15" x14ac:dyDescent="0.25">
      <c r="A240" s="1" t="s">
        <v>366</v>
      </c>
      <c r="B240" s="1">
        <v>16.890899999999998</v>
      </c>
      <c r="C240" s="1">
        <v>54.240600000000001</v>
      </c>
      <c r="D240" s="1" t="s">
        <v>361</v>
      </c>
      <c r="E240" s="1" t="s">
        <v>56</v>
      </c>
      <c r="F240" s="1" t="s">
        <v>345</v>
      </c>
      <c r="G240" s="1" t="s">
        <v>362</v>
      </c>
      <c r="H240" s="1" t="s">
        <v>366</v>
      </c>
      <c r="I240" s="1">
        <v>150</v>
      </c>
      <c r="J240" s="1">
        <v>11.756830601092895</v>
      </c>
      <c r="K240" s="1" t="s">
        <v>44</v>
      </c>
      <c r="L240">
        <v>52.39</v>
      </c>
      <c r="M240">
        <v>35</v>
      </c>
      <c r="N240">
        <v>13.6</v>
      </c>
      <c r="O240">
        <v>7019</v>
      </c>
    </row>
    <row r="241" spans="1:15" x14ac:dyDescent="0.25">
      <c r="A241" s="1" t="s">
        <v>367</v>
      </c>
      <c r="B241" s="1">
        <v>17.123100000000001</v>
      </c>
      <c r="C241" s="1">
        <v>54.504199999999997</v>
      </c>
      <c r="D241" s="1" t="s">
        <v>97</v>
      </c>
      <c r="E241" s="1" t="s">
        <v>56</v>
      </c>
      <c r="F241" s="1" t="s">
        <v>345</v>
      </c>
      <c r="G241" s="1" t="s">
        <v>362</v>
      </c>
      <c r="H241" s="1" t="s">
        <v>345</v>
      </c>
      <c r="I241" s="1">
        <v>125</v>
      </c>
      <c r="J241" s="1">
        <v>14.636612021857923</v>
      </c>
      <c r="K241" s="1" t="s">
        <v>31</v>
      </c>
      <c r="L241">
        <v>52.39</v>
      </c>
      <c r="M241">
        <v>35</v>
      </c>
      <c r="N241">
        <v>13.6</v>
      </c>
      <c r="O241">
        <v>7019</v>
      </c>
    </row>
    <row r="242" spans="1:15" x14ac:dyDescent="0.25">
      <c r="A242" s="1" t="s">
        <v>368</v>
      </c>
      <c r="B242" s="1">
        <v>16.873899999999999</v>
      </c>
      <c r="C242" s="1">
        <v>54.295999999999999</v>
      </c>
      <c r="D242" s="1" t="s">
        <v>369</v>
      </c>
      <c r="E242" s="1" t="s">
        <v>56</v>
      </c>
      <c r="F242" s="1" t="s">
        <v>345</v>
      </c>
      <c r="G242" s="1" t="s">
        <v>362</v>
      </c>
      <c r="H242" s="1" t="s">
        <v>366</v>
      </c>
      <c r="I242" s="1">
        <v>125</v>
      </c>
      <c r="J242" s="1">
        <v>11.756830601092895</v>
      </c>
      <c r="K242" s="1" t="s">
        <v>28</v>
      </c>
      <c r="L242">
        <v>52.39</v>
      </c>
      <c r="M242">
        <v>35</v>
      </c>
      <c r="N242">
        <v>13.6</v>
      </c>
      <c r="O242">
        <v>7019</v>
      </c>
    </row>
    <row r="243" spans="1:15" x14ac:dyDescent="0.25">
      <c r="A243" s="1" t="s">
        <v>370</v>
      </c>
      <c r="B243" s="1">
        <v>16.940300000000001</v>
      </c>
      <c r="C243" s="1">
        <v>54.5227</v>
      </c>
      <c r="D243" s="1" t="s">
        <v>361</v>
      </c>
      <c r="E243" s="1" t="s">
        <v>56</v>
      </c>
      <c r="F243" s="1" t="s">
        <v>345</v>
      </c>
      <c r="G243" s="1" t="s">
        <v>362</v>
      </c>
      <c r="H243" s="1" t="s">
        <v>345</v>
      </c>
      <c r="I243" s="1">
        <v>75</v>
      </c>
      <c r="J243" s="1">
        <v>16.797814207650273</v>
      </c>
      <c r="K243" s="1" t="s">
        <v>16</v>
      </c>
      <c r="L243">
        <v>52.39</v>
      </c>
      <c r="M243">
        <v>35</v>
      </c>
      <c r="N243">
        <v>13.6</v>
      </c>
      <c r="O243">
        <v>7019</v>
      </c>
    </row>
    <row r="244" spans="1:15" x14ac:dyDescent="0.25">
      <c r="A244" s="1" t="s">
        <v>371</v>
      </c>
      <c r="B244" s="1">
        <v>17.3718</v>
      </c>
      <c r="C244" s="1">
        <v>54.491199999999999</v>
      </c>
      <c r="D244" s="1" t="s">
        <v>97</v>
      </c>
      <c r="E244" s="1" t="s">
        <v>56</v>
      </c>
      <c r="F244" s="1" t="s">
        <v>345</v>
      </c>
      <c r="G244" s="1" t="s">
        <v>362</v>
      </c>
      <c r="H244" s="1" t="s">
        <v>365</v>
      </c>
      <c r="I244" s="1">
        <v>75</v>
      </c>
      <c r="J244" s="1">
        <v>14.639344262295081</v>
      </c>
      <c r="K244" s="1" t="s">
        <v>16</v>
      </c>
      <c r="L244">
        <v>52.39</v>
      </c>
      <c r="M244">
        <v>35</v>
      </c>
      <c r="N244">
        <v>13.6</v>
      </c>
      <c r="O244">
        <v>7019</v>
      </c>
    </row>
    <row r="245" spans="1:15" x14ac:dyDescent="0.25">
      <c r="A245" s="1" t="s">
        <v>372</v>
      </c>
      <c r="B245" s="1">
        <v>16.962499999999999</v>
      </c>
      <c r="C245" s="1">
        <v>54.513300000000001</v>
      </c>
      <c r="D245" s="1" t="s">
        <v>361</v>
      </c>
      <c r="E245" s="1" t="s">
        <v>56</v>
      </c>
      <c r="F245" s="1" t="s">
        <v>345</v>
      </c>
      <c r="G245" s="1" t="s">
        <v>362</v>
      </c>
      <c r="H245" s="1" t="s">
        <v>345</v>
      </c>
      <c r="I245" s="1">
        <v>35</v>
      </c>
      <c r="J245" s="1">
        <v>16.797814207650273</v>
      </c>
      <c r="K245" s="1" t="s">
        <v>18</v>
      </c>
      <c r="L245">
        <v>52.39</v>
      </c>
      <c r="M245">
        <v>35</v>
      </c>
      <c r="N245">
        <v>13.6</v>
      </c>
      <c r="O245">
        <v>7019</v>
      </c>
    </row>
    <row r="246" spans="1:15" x14ac:dyDescent="0.25">
      <c r="A246" s="1" t="s">
        <v>373</v>
      </c>
      <c r="B246" s="1">
        <v>16.916899999999998</v>
      </c>
      <c r="C246" s="1">
        <v>54.430399999999999</v>
      </c>
      <c r="D246" s="1" t="s">
        <v>97</v>
      </c>
      <c r="E246" s="1" t="s">
        <v>56</v>
      </c>
      <c r="F246" s="1" t="s">
        <v>345</v>
      </c>
      <c r="G246" s="1" t="s">
        <v>362</v>
      </c>
      <c r="H246" s="1" t="s">
        <v>374</v>
      </c>
      <c r="I246" s="1">
        <v>35</v>
      </c>
      <c r="J246" s="1">
        <v>16.661202185792348</v>
      </c>
      <c r="K246" s="1" t="s">
        <v>18</v>
      </c>
      <c r="L246">
        <v>52.39</v>
      </c>
      <c r="M246">
        <v>35</v>
      </c>
      <c r="N246">
        <v>13.6</v>
      </c>
      <c r="O246">
        <v>7019</v>
      </c>
    </row>
    <row r="247" spans="1:15" x14ac:dyDescent="0.25">
      <c r="A247" s="1" t="s">
        <v>375</v>
      </c>
      <c r="B247" s="1">
        <v>17.4177</v>
      </c>
      <c r="C247" s="1">
        <v>54.489899999999999</v>
      </c>
      <c r="D247" s="1" t="s">
        <v>97</v>
      </c>
      <c r="E247" s="1" t="s">
        <v>56</v>
      </c>
      <c r="F247" s="1" t="s">
        <v>345</v>
      </c>
      <c r="G247" s="1" t="s">
        <v>362</v>
      </c>
      <c r="H247" s="1" t="s">
        <v>364</v>
      </c>
      <c r="I247" s="1">
        <v>35</v>
      </c>
      <c r="J247" s="1">
        <v>14.639344262295081</v>
      </c>
      <c r="K247" s="1" t="s">
        <v>16</v>
      </c>
      <c r="L247">
        <v>52.39</v>
      </c>
      <c r="M247">
        <v>35</v>
      </c>
      <c r="N247">
        <v>13.6</v>
      </c>
      <c r="O247">
        <v>7019</v>
      </c>
    </row>
    <row r="248" spans="1:15" x14ac:dyDescent="0.25">
      <c r="A248" s="1" t="s">
        <v>376</v>
      </c>
      <c r="B248" s="1">
        <v>16.888000000000002</v>
      </c>
      <c r="C248" s="1">
        <v>54.193300000000001</v>
      </c>
      <c r="D248" s="1" t="s">
        <v>361</v>
      </c>
      <c r="E248" s="1" t="s">
        <v>56</v>
      </c>
      <c r="F248" s="1" t="s">
        <v>345</v>
      </c>
      <c r="G248" s="1" t="s">
        <v>362</v>
      </c>
      <c r="H248" s="1" t="s">
        <v>366</v>
      </c>
      <c r="I248" s="1">
        <v>35</v>
      </c>
      <c r="J248" s="1">
        <v>11.756830601092895</v>
      </c>
      <c r="K248" s="1" t="s">
        <v>16</v>
      </c>
      <c r="L248">
        <v>52.39</v>
      </c>
      <c r="M248">
        <v>35</v>
      </c>
      <c r="N248">
        <v>13.6</v>
      </c>
      <c r="O248">
        <v>7019</v>
      </c>
    </row>
    <row r="249" spans="1:15" x14ac:dyDescent="0.25">
      <c r="A249" s="1" t="s">
        <v>377</v>
      </c>
      <c r="B249" s="1">
        <v>16.897099999999998</v>
      </c>
      <c r="C249" s="1">
        <v>54.215400000000002</v>
      </c>
      <c r="D249" s="1" t="s">
        <v>361</v>
      </c>
      <c r="E249" s="1" t="s">
        <v>56</v>
      </c>
      <c r="F249" s="1" t="s">
        <v>345</v>
      </c>
      <c r="G249" s="1" t="s">
        <v>362</v>
      </c>
      <c r="H249" s="1" t="s">
        <v>366</v>
      </c>
      <c r="I249" s="1">
        <v>35</v>
      </c>
      <c r="J249" s="1">
        <v>11.756830601092895</v>
      </c>
      <c r="K249" s="1" t="s">
        <v>16</v>
      </c>
      <c r="L249">
        <v>52.39</v>
      </c>
      <c r="M249">
        <v>35</v>
      </c>
      <c r="N249">
        <v>13.6</v>
      </c>
      <c r="O249">
        <v>7019</v>
      </c>
    </row>
    <row r="250" spans="1:15" x14ac:dyDescent="0.25">
      <c r="A250" s="1" t="s">
        <v>378</v>
      </c>
      <c r="B250" s="1">
        <v>16.857399999999998</v>
      </c>
      <c r="C250" s="1">
        <v>54.122900000000001</v>
      </c>
      <c r="D250" s="1" t="s">
        <v>361</v>
      </c>
      <c r="E250" s="1" t="s">
        <v>56</v>
      </c>
      <c r="F250" s="1" t="s">
        <v>345</v>
      </c>
      <c r="G250" s="1" t="s">
        <v>362</v>
      </c>
      <c r="H250" s="1" t="s">
        <v>366</v>
      </c>
      <c r="I250" s="1">
        <v>35</v>
      </c>
      <c r="J250" s="1">
        <v>11.756830601092895</v>
      </c>
      <c r="K250" s="1" t="s">
        <v>16</v>
      </c>
      <c r="L250">
        <v>52.39</v>
      </c>
      <c r="M250">
        <v>35</v>
      </c>
      <c r="N250">
        <v>13.6</v>
      </c>
      <c r="O250">
        <v>7019</v>
      </c>
    </row>
    <row r="251" spans="1:15" x14ac:dyDescent="0.25">
      <c r="A251" s="1" t="s">
        <v>379</v>
      </c>
      <c r="B251" s="1">
        <v>16.9194</v>
      </c>
      <c r="C251" s="1">
        <v>54.532299999999999</v>
      </c>
      <c r="D251" s="1" t="s">
        <v>361</v>
      </c>
      <c r="E251" s="1" t="s">
        <v>56</v>
      </c>
      <c r="F251" s="1" t="s">
        <v>345</v>
      </c>
      <c r="G251" s="1" t="s">
        <v>362</v>
      </c>
      <c r="H251" s="1" t="s">
        <v>360</v>
      </c>
      <c r="I251" s="1">
        <v>15</v>
      </c>
      <c r="J251" s="1">
        <v>16.800546448087431</v>
      </c>
      <c r="K251" s="1" t="s">
        <v>18</v>
      </c>
      <c r="L251">
        <v>52.39</v>
      </c>
      <c r="M251">
        <v>35</v>
      </c>
      <c r="N251">
        <v>13.6</v>
      </c>
      <c r="O251">
        <v>7019</v>
      </c>
    </row>
    <row r="252" spans="1:15" x14ac:dyDescent="0.25">
      <c r="A252" s="1" t="s">
        <v>380</v>
      </c>
      <c r="B252" s="1">
        <v>16.849599999999999</v>
      </c>
      <c r="C252" s="1">
        <v>54.4146</v>
      </c>
      <c r="D252" s="1" t="s">
        <v>97</v>
      </c>
      <c r="E252" s="1" t="s">
        <v>56</v>
      </c>
      <c r="F252" s="1" t="s">
        <v>345</v>
      </c>
      <c r="G252" s="1" t="s">
        <v>362</v>
      </c>
      <c r="H252" s="1" t="s">
        <v>374</v>
      </c>
      <c r="I252" s="1">
        <v>15</v>
      </c>
      <c r="J252" s="1">
        <v>16.661202185792348</v>
      </c>
      <c r="K252" s="1" t="s">
        <v>18</v>
      </c>
      <c r="L252">
        <v>52.39</v>
      </c>
      <c r="M252">
        <v>35</v>
      </c>
      <c r="N252">
        <v>13.6</v>
      </c>
      <c r="O252">
        <v>7019</v>
      </c>
    </row>
    <row r="253" spans="1:15" x14ac:dyDescent="0.25">
      <c r="A253" s="1" t="s">
        <v>381</v>
      </c>
      <c r="B253" s="1">
        <v>16.887799999999999</v>
      </c>
      <c r="C253" s="1">
        <v>54.173000000000002</v>
      </c>
      <c r="D253" s="1" t="s">
        <v>361</v>
      </c>
      <c r="E253" s="1" t="s">
        <v>56</v>
      </c>
      <c r="F253" s="1" t="s">
        <v>345</v>
      </c>
      <c r="G253" s="1" t="s">
        <v>362</v>
      </c>
      <c r="H253" s="1" t="s">
        <v>366</v>
      </c>
      <c r="I253" s="1">
        <v>15</v>
      </c>
      <c r="J253" s="1">
        <v>11.756830601092895</v>
      </c>
      <c r="K253" s="1" t="s">
        <v>18</v>
      </c>
      <c r="L253">
        <v>52.39</v>
      </c>
      <c r="M253">
        <v>35</v>
      </c>
      <c r="N253">
        <v>13.6</v>
      </c>
      <c r="O253">
        <v>7019</v>
      </c>
    </row>
    <row r="254" spans="1:15" x14ac:dyDescent="0.25">
      <c r="A254" s="1" t="s">
        <v>382</v>
      </c>
      <c r="B254" s="1">
        <v>16.917000000000002</v>
      </c>
      <c r="C254" s="1">
        <v>54.343000000000004</v>
      </c>
      <c r="D254" s="1" t="s">
        <v>361</v>
      </c>
      <c r="E254" s="1" t="s">
        <v>56</v>
      </c>
      <c r="F254" s="1" t="s">
        <v>345</v>
      </c>
      <c r="G254" s="1" t="s">
        <v>362</v>
      </c>
      <c r="H254" s="1" t="s">
        <v>374</v>
      </c>
      <c r="I254" s="1">
        <v>15</v>
      </c>
      <c r="J254" s="1">
        <v>11.756830601092895</v>
      </c>
      <c r="K254" s="1" t="s">
        <v>18</v>
      </c>
      <c r="L254">
        <v>52.39</v>
      </c>
      <c r="M254">
        <v>35</v>
      </c>
      <c r="N254">
        <v>13.6</v>
      </c>
      <c r="O254">
        <v>7019</v>
      </c>
    </row>
    <row r="255" spans="1:15" x14ac:dyDescent="0.25">
      <c r="A255" s="1" t="s">
        <v>383</v>
      </c>
      <c r="B255" s="1">
        <v>16.987500000000001</v>
      </c>
      <c r="C255" s="1">
        <v>54.442599999999999</v>
      </c>
      <c r="D255" s="1" t="s">
        <v>361</v>
      </c>
      <c r="E255" s="1" t="s">
        <v>56</v>
      </c>
      <c r="F255" s="1" t="s">
        <v>345</v>
      </c>
      <c r="G255" s="1" t="s">
        <v>362</v>
      </c>
      <c r="H255" s="1" t="s">
        <v>374</v>
      </c>
      <c r="I255" s="1">
        <v>15</v>
      </c>
      <c r="J255" s="1">
        <v>11.748633879781421</v>
      </c>
      <c r="K255" s="1" t="s">
        <v>18</v>
      </c>
      <c r="L255">
        <v>52.39</v>
      </c>
      <c r="M255">
        <v>35</v>
      </c>
      <c r="N255">
        <v>13.6</v>
      </c>
      <c r="O255">
        <v>7019</v>
      </c>
    </row>
    <row r="256" spans="1:15" x14ac:dyDescent="0.25">
      <c r="A256" s="1" t="s">
        <v>384</v>
      </c>
      <c r="B256" s="1">
        <v>16.925599999999999</v>
      </c>
      <c r="C256" s="1">
        <v>54.382399999999997</v>
      </c>
      <c r="D256" s="1" t="s">
        <v>361</v>
      </c>
      <c r="E256" s="1" t="s">
        <v>56</v>
      </c>
      <c r="F256" s="1" t="s">
        <v>345</v>
      </c>
      <c r="G256" s="1" t="s">
        <v>362</v>
      </c>
      <c r="H256" s="1" t="s">
        <v>374</v>
      </c>
      <c r="I256" s="1">
        <v>5</v>
      </c>
      <c r="J256" s="1">
        <v>11.756830601092895</v>
      </c>
      <c r="K256" s="1" t="s">
        <v>18</v>
      </c>
      <c r="L256">
        <v>52.39</v>
      </c>
      <c r="M256">
        <v>35</v>
      </c>
      <c r="N256">
        <v>13.6</v>
      </c>
      <c r="O256">
        <v>7019</v>
      </c>
    </row>
    <row r="257" spans="1:15" x14ac:dyDescent="0.25">
      <c r="A257" s="1" t="s">
        <v>385</v>
      </c>
      <c r="B257" s="1">
        <v>16.9619</v>
      </c>
      <c r="C257" s="1">
        <v>54.4283</v>
      </c>
      <c r="D257" s="1" t="s">
        <v>361</v>
      </c>
      <c r="E257" s="1" t="s">
        <v>56</v>
      </c>
      <c r="F257" s="1" t="s">
        <v>345</v>
      </c>
      <c r="G257" s="1" t="s">
        <v>362</v>
      </c>
      <c r="H257" s="1" t="s">
        <v>374</v>
      </c>
      <c r="I257" s="1">
        <v>5</v>
      </c>
      <c r="J257" s="1">
        <v>11.748633879781421</v>
      </c>
      <c r="K257" s="1" t="s">
        <v>18</v>
      </c>
      <c r="L257">
        <v>52.39</v>
      </c>
      <c r="M257">
        <v>35</v>
      </c>
      <c r="N257">
        <v>13.6</v>
      </c>
      <c r="O257">
        <v>7019</v>
      </c>
    </row>
    <row r="258" spans="1:15" x14ac:dyDescent="0.25">
      <c r="A258" s="1" t="s">
        <v>386</v>
      </c>
      <c r="B258" s="1">
        <v>22.142199999999999</v>
      </c>
      <c r="C258" s="1">
        <v>50.513399999999997</v>
      </c>
      <c r="D258" s="1" t="s">
        <v>387</v>
      </c>
      <c r="E258" s="1" t="s">
        <v>13</v>
      </c>
      <c r="F258" s="1" t="s">
        <v>388</v>
      </c>
      <c r="G258" s="1" t="s">
        <v>389</v>
      </c>
      <c r="H258" s="1" t="s">
        <v>386</v>
      </c>
      <c r="I258" s="1">
        <v>175</v>
      </c>
      <c r="J258" s="1">
        <v>17.297814207650273</v>
      </c>
      <c r="K258" s="1" t="s">
        <v>31</v>
      </c>
      <c r="L258">
        <v>53</v>
      </c>
      <c r="M258">
        <v>40.799999999999997</v>
      </c>
      <c r="N258">
        <v>11.4</v>
      </c>
      <c r="O258">
        <v>7043</v>
      </c>
    </row>
    <row r="259" spans="1:15" x14ac:dyDescent="0.25">
      <c r="A259" s="1" t="s">
        <v>390</v>
      </c>
      <c r="B259" s="1">
        <v>22.250499999999999</v>
      </c>
      <c r="C259" s="1">
        <v>50.434899999999999</v>
      </c>
      <c r="D259" s="1" t="s">
        <v>387</v>
      </c>
      <c r="E259" s="1" t="s">
        <v>13</v>
      </c>
      <c r="F259" s="1" t="s">
        <v>388</v>
      </c>
      <c r="G259" s="1" t="s">
        <v>389</v>
      </c>
      <c r="H259" s="1" t="s">
        <v>390</v>
      </c>
      <c r="I259" s="1">
        <v>150</v>
      </c>
      <c r="J259" s="1">
        <v>17.297814207650273</v>
      </c>
      <c r="K259" s="1" t="s">
        <v>28</v>
      </c>
      <c r="L259">
        <v>53</v>
      </c>
      <c r="M259">
        <v>40.799999999999997</v>
      </c>
      <c r="N259">
        <v>11.4</v>
      </c>
      <c r="O259">
        <v>7043</v>
      </c>
    </row>
    <row r="260" spans="1:15" x14ac:dyDescent="0.25">
      <c r="A260" s="1" t="s">
        <v>391</v>
      </c>
      <c r="B260" s="1">
        <v>22.122800000000002</v>
      </c>
      <c r="C260" s="1">
        <v>50.520800000000001</v>
      </c>
      <c r="D260" s="1" t="s">
        <v>387</v>
      </c>
      <c r="E260" s="1" t="s">
        <v>13</v>
      </c>
      <c r="F260" s="1" t="s">
        <v>388</v>
      </c>
      <c r="G260" s="1" t="s">
        <v>389</v>
      </c>
      <c r="H260" s="1" t="s">
        <v>386</v>
      </c>
      <c r="I260" s="1">
        <v>35</v>
      </c>
      <c r="J260" s="1">
        <v>9.3251366120218577</v>
      </c>
      <c r="K260" s="1" t="s">
        <v>16</v>
      </c>
      <c r="L260">
        <v>53</v>
      </c>
      <c r="M260">
        <v>40.799999999999997</v>
      </c>
      <c r="N260">
        <v>11.4</v>
      </c>
      <c r="O260">
        <v>7043</v>
      </c>
    </row>
    <row r="261" spans="1:15" x14ac:dyDescent="0.25">
      <c r="A261" s="1" t="s">
        <v>392</v>
      </c>
      <c r="B261" s="1">
        <v>22.1736</v>
      </c>
      <c r="C261" s="1">
        <v>50.495399999999997</v>
      </c>
      <c r="D261" s="1" t="s">
        <v>387</v>
      </c>
      <c r="E261" s="1" t="s">
        <v>13</v>
      </c>
      <c r="F261" s="1" t="s">
        <v>388</v>
      </c>
      <c r="G261" s="1" t="s">
        <v>389</v>
      </c>
      <c r="H261" s="1" t="s">
        <v>386</v>
      </c>
      <c r="I261" s="1">
        <v>35</v>
      </c>
      <c r="J261" s="1">
        <v>9.3251366120218577</v>
      </c>
      <c r="K261" s="1" t="s">
        <v>31</v>
      </c>
      <c r="L261">
        <v>53</v>
      </c>
      <c r="M261">
        <v>40.799999999999997</v>
      </c>
      <c r="N261">
        <v>11.4</v>
      </c>
      <c r="O261">
        <v>7043</v>
      </c>
    </row>
    <row r="262" spans="1:15" x14ac:dyDescent="0.25">
      <c r="A262" s="1" t="s">
        <v>393</v>
      </c>
      <c r="B262" s="1">
        <v>22.216699999999999</v>
      </c>
      <c r="C262" s="1">
        <v>50.458300000000001</v>
      </c>
      <c r="D262" s="1" t="s">
        <v>387</v>
      </c>
      <c r="E262" s="1" t="s">
        <v>13</v>
      </c>
      <c r="F262" s="1" t="s">
        <v>388</v>
      </c>
      <c r="G262" s="1" t="s">
        <v>389</v>
      </c>
      <c r="H262" s="1" t="s">
        <v>390</v>
      </c>
      <c r="I262" s="1">
        <v>35</v>
      </c>
      <c r="J262" s="1">
        <v>9.3251366120218577</v>
      </c>
      <c r="K262" s="1" t="s">
        <v>16</v>
      </c>
      <c r="L262">
        <v>53</v>
      </c>
      <c r="M262">
        <v>40.799999999999997</v>
      </c>
      <c r="N262">
        <v>11.4</v>
      </c>
      <c r="O262">
        <v>7043</v>
      </c>
    </row>
    <row r="263" spans="1:15" x14ac:dyDescent="0.25">
      <c r="A263" s="1" t="s">
        <v>394</v>
      </c>
      <c r="B263" s="1">
        <v>22.2559</v>
      </c>
      <c r="C263" s="1">
        <v>50.363500000000002</v>
      </c>
      <c r="D263" s="1" t="s">
        <v>387</v>
      </c>
      <c r="E263" s="1" t="s">
        <v>13</v>
      </c>
      <c r="F263" s="1" t="s">
        <v>388</v>
      </c>
      <c r="G263" s="1" t="s">
        <v>389</v>
      </c>
      <c r="H263" s="1" t="s">
        <v>395</v>
      </c>
      <c r="I263" s="1">
        <v>15</v>
      </c>
      <c r="J263" s="1">
        <v>7.1120218579234971</v>
      </c>
      <c r="K263" s="1" t="s">
        <v>18</v>
      </c>
      <c r="L263">
        <v>53</v>
      </c>
      <c r="M263">
        <v>40.799999999999997</v>
      </c>
      <c r="N263">
        <v>11.4</v>
      </c>
      <c r="O263">
        <v>7043</v>
      </c>
    </row>
    <row r="264" spans="1:15" x14ac:dyDescent="0.25">
      <c r="A264" s="1" t="s">
        <v>396</v>
      </c>
      <c r="B264" s="1">
        <v>22.1097</v>
      </c>
      <c r="C264" s="1">
        <v>50.5242</v>
      </c>
      <c r="D264" s="1" t="s">
        <v>387</v>
      </c>
      <c r="E264" s="1" t="s">
        <v>13</v>
      </c>
      <c r="F264" s="1" t="s">
        <v>388</v>
      </c>
      <c r="G264" s="1" t="s">
        <v>389</v>
      </c>
      <c r="H264" s="1" t="s">
        <v>386</v>
      </c>
      <c r="I264" s="1">
        <v>5</v>
      </c>
      <c r="J264" s="1">
        <v>9.3251366120218577</v>
      </c>
      <c r="K264" s="1" t="s">
        <v>18</v>
      </c>
      <c r="L264">
        <v>53</v>
      </c>
      <c r="M264">
        <v>40.799999999999997</v>
      </c>
      <c r="N264">
        <v>11.4</v>
      </c>
      <c r="O264">
        <v>7043</v>
      </c>
    </row>
    <row r="265" spans="1:15" x14ac:dyDescent="0.25">
      <c r="A265" s="1" t="s">
        <v>397</v>
      </c>
      <c r="B265" s="1">
        <v>22.158899999999999</v>
      </c>
      <c r="C265" s="1">
        <v>50.503999999999998</v>
      </c>
      <c r="D265" s="1" t="s">
        <v>387</v>
      </c>
      <c r="E265" s="1" t="s">
        <v>13</v>
      </c>
      <c r="F265" s="1" t="s">
        <v>388</v>
      </c>
      <c r="G265" s="1" t="s">
        <v>389</v>
      </c>
      <c r="H265" s="1" t="s">
        <v>386</v>
      </c>
      <c r="I265" s="1">
        <v>5</v>
      </c>
      <c r="J265" s="1">
        <v>9.3251366120218577</v>
      </c>
      <c r="K265" s="1" t="s">
        <v>18</v>
      </c>
      <c r="L265">
        <v>53</v>
      </c>
      <c r="M265">
        <v>40.799999999999997</v>
      </c>
      <c r="N265">
        <v>11.4</v>
      </c>
      <c r="O265">
        <v>7043</v>
      </c>
    </row>
    <row r="266" spans="1:15" x14ac:dyDescent="0.25">
      <c r="A266" s="1" t="s">
        <v>398</v>
      </c>
      <c r="B266" s="1">
        <v>22.042000000000002</v>
      </c>
      <c r="C266" s="1">
        <v>50.591299999999997</v>
      </c>
      <c r="D266" s="1" t="s">
        <v>399</v>
      </c>
      <c r="E266" s="1" t="s">
        <v>13</v>
      </c>
      <c r="F266" s="1" t="s">
        <v>388</v>
      </c>
      <c r="G266" s="1" t="s">
        <v>400</v>
      </c>
      <c r="H266" s="1" t="s">
        <v>388</v>
      </c>
      <c r="I266" s="1">
        <v>400</v>
      </c>
      <c r="J266" s="1">
        <v>36.557377049180324</v>
      </c>
      <c r="K266" s="1" t="s">
        <v>28</v>
      </c>
      <c r="L266">
        <v>52.39</v>
      </c>
      <c r="M266">
        <v>35</v>
      </c>
      <c r="N266">
        <v>13.6</v>
      </c>
      <c r="O266">
        <v>7019</v>
      </c>
    </row>
    <row r="267" spans="1:15" x14ac:dyDescent="0.25">
      <c r="A267" s="1" t="s">
        <v>401</v>
      </c>
      <c r="B267" s="1">
        <v>22.055299999999999</v>
      </c>
      <c r="C267" s="1">
        <v>50.569800000000001</v>
      </c>
      <c r="D267" s="1" t="s">
        <v>387</v>
      </c>
      <c r="E267" s="1" t="s">
        <v>13</v>
      </c>
      <c r="F267" s="1" t="s">
        <v>388</v>
      </c>
      <c r="G267" s="1" t="s">
        <v>400</v>
      </c>
      <c r="H267" s="1" t="s">
        <v>388</v>
      </c>
      <c r="I267" s="1">
        <v>400</v>
      </c>
      <c r="J267" s="1">
        <v>24.666666666666668</v>
      </c>
      <c r="K267" s="1" t="s">
        <v>28</v>
      </c>
      <c r="L267">
        <v>52.39</v>
      </c>
      <c r="M267">
        <v>35</v>
      </c>
      <c r="N267">
        <v>13.6</v>
      </c>
      <c r="O267">
        <v>7019</v>
      </c>
    </row>
    <row r="268" spans="1:15" x14ac:dyDescent="0.25">
      <c r="A268" s="1" t="s">
        <v>388</v>
      </c>
      <c r="B268" s="1">
        <v>22.060600000000001</v>
      </c>
      <c r="C268" s="1">
        <v>50.562800000000003</v>
      </c>
      <c r="D268" s="1" t="s">
        <v>387</v>
      </c>
      <c r="E268" s="1" t="s">
        <v>13</v>
      </c>
      <c r="F268" s="1" t="s">
        <v>388</v>
      </c>
      <c r="G268" s="1" t="s">
        <v>400</v>
      </c>
      <c r="H268" s="1" t="s">
        <v>388</v>
      </c>
      <c r="I268" s="1">
        <v>125</v>
      </c>
      <c r="J268" s="1">
        <v>16.598360655737704</v>
      </c>
      <c r="K268" s="1" t="s">
        <v>31</v>
      </c>
      <c r="L268">
        <v>52.39</v>
      </c>
      <c r="M268">
        <v>35</v>
      </c>
      <c r="N268">
        <v>13.6</v>
      </c>
      <c r="O268">
        <v>7019</v>
      </c>
    </row>
    <row r="269" spans="1:15" x14ac:dyDescent="0.25">
      <c r="A269" s="1" t="s">
        <v>402</v>
      </c>
      <c r="B269" s="1">
        <v>22.107500000000002</v>
      </c>
      <c r="C269" s="1">
        <v>50.7684</v>
      </c>
      <c r="D269" s="1" t="s">
        <v>387</v>
      </c>
      <c r="E269" s="1" t="s">
        <v>13</v>
      </c>
      <c r="F269" s="1" t="s">
        <v>388</v>
      </c>
      <c r="G269" s="1" t="s">
        <v>400</v>
      </c>
      <c r="H269" s="1" t="s">
        <v>402</v>
      </c>
      <c r="I269" s="1">
        <v>75</v>
      </c>
      <c r="J269" s="1">
        <v>17.852459016393443</v>
      </c>
      <c r="K269" s="1" t="s">
        <v>16</v>
      </c>
      <c r="L269">
        <v>52.39</v>
      </c>
      <c r="M269">
        <v>35</v>
      </c>
      <c r="N269">
        <v>13.6</v>
      </c>
      <c r="O269">
        <v>7019</v>
      </c>
    </row>
    <row r="270" spans="1:15" x14ac:dyDescent="0.25">
      <c r="A270" s="1" t="s">
        <v>403</v>
      </c>
      <c r="B270" s="1">
        <v>22.0791</v>
      </c>
      <c r="C270" s="1">
        <v>50.544600000000003</v>
      </c>
      <c r="D270" s="1" t="s">
        <v>404</v>
      </c>
      <c r="E270" s="1" t="s">
        <v>13</v>
      </c>
      <c r="F270" s="1" t="s">
        <v>388</v>
      </c>
      <c r="G270" s="1" t="s">
        <v>400</v>
      </c>
      <c r="H270" s="1" t="s">
        <v>388</v>
      </c>
      <c r="I270" s="1">
        <v>75</v>
      </c>
      <c r="J270" s="1">
        <v>16.601092896174862</v>
      </c>
      <c r="K270" s="1" t="s">
        <v>16</v>
      </c>
      <c r="L270">
        <v>52.39</v>
      </c>
      <c r="M270">
        <v>35</v>
      </c>
      <c r="N270">
        <v>13.6</v>
      </c>
      <c r="O270">
        <v>7019</v>
      </c>
    </row>
    <row r="271" spans="1:15" x14ac:dyDescent="0.25">
      <c r="A271" s="1" t="s">
        <v>405</v>
      </c>
      <c r="B271" s="1">
        <v>22.025124999999999</v>
      </c>
      <c r="C271" s="1">
        <v>50.603096999999998</v>
      </c>
      <c r="D271" s="1">
        <v>68</v>
      </c>
      <c r="E271" s="1" t="s">
        <v>13</v>
      </c>
      <c r="F271" s="1" t="s">
        <v>388</v>
      </c>
      <c r="G271" s="1" t="s">
        <v>400</v>
      </c>
      <c r="H271" s="1" t="s">
        <v>388</v>
      </c>
      <c r="I271" s="1">
        <v>75</v>
      </c>
      <c r="J271" s="1">
        <v>3.7486338797814209</v>
      </c>
      <c r="K271" s="1" t="s">
        <v>60</v>
      </c>
      <c r="L271">
        <v>52.39</v>
      </c>
      <c r="M271">
        <v>35</v>
      </c>
      <c r="N271">
        <v>13.6</v>
      </c>
      <c r="O271">
        <v>7019</v>
      </c>
    </row>
    <row r="272" spans="1:15" x14ac:dyDescent="0.25">
      <c r="A272" s="1" t="s">
        <v>406</v>
      </c>
      <c r="B272" s="1">
        <v>22.068100000000001</v>
      </c>
      <c r="C272" s="1">
        <v>50.69</v>
      </c>
      <c r="D272" s="1" t="s">
        <v>387</v>
      </c>
      <c r="E272" s="1" t="s">
        <v>13</v>
      </c>
      <c r="F272" s="1" t="s">
        <v>388</v>
      </c>
      <c r="G272" s="1" t="s">
        <v>400</v>
      </c>
      <c r="H272" s="1" t="s">
        <v>402</v>
      </c>
      <c r="I272" s="1">
        <v>35</v>
      </c>
      <c r="J272" s="1">
        <v>9.9453551912568301</v>
      </c>
      <c r="K272" s="1" t="s">
        <v>16</v>
      </c>
      <c r="L272">
        <v>52.39</v>
      </c>
      <c r="M272">
        <v>35</v>
      </c>
      <c r="N272">
        <v>13.6</v>
      </c>
      <c r="O272">
        <v>7019</v>
      </c>
    </row>
    <row r="273" spans="1:15" x14ac:dyDescent="0.25">
      <c r="A273" s="1" t="s">
        <v>407</v>
      </c>
      <c r="B273" s="1">
        <v>21.920400000000001</v>
      </c>
      <c r="C273" s="1">
        <v>50.634799999999998</v>
      </c>
      <c r="D273" s="1" t="s">
        <v>408</v>
      </c>
      <c r="E273" s="1" t="s">
        <v>13</v>
      </c>
      <c r="F273" s="1" t="s">
        <v>388</v>
      </c>
      <c r="G273" s="1" t="s">
        <v>400</v>
      </c>
      <c r="H273" s="1" t="s">
        <v>409</v>
      </c>
      <c r="I273" s="1">
        <v>15</v>
      </c>
      <c r="J273" s="1">
        <v>11.281420765027322</v>
      </c>
      <c r="K273" s="1" t="s">
        <v>18</v>
      </c>
      <c r="L273">
        <v>52.39</v>
      </c>
      <c r="M273">
        <v>35</v>
      </c>
      <c r="N273">
        <v>13.6</v>
      </c>
      <c r="O273">
        <v>7019</v>
      </c>
    </row>
    <row r="274" spans="1:15" x14ac:dyDescent="0.25">
      <c r="A274" s="1" t="s">
        <v>410</v>
      </c>
      <c r="B274" s="1">
        <v>22.032800000000002</v>
      </c>
      <c r="C274" s="1">
        <v>50.654200000000003</v>
      </c>
      <c r="D274" s="1" t="s">
        <v>387</v>
      </c>
      <c r="E274" s="1" t="s">
        <v>13</v>
      </c>
      <c r="F274" s="1" t="s">
        <v>388</v>
      </c>
      <c r="G274" s="1" t="s">
        <v>400</v>
      </c>
      <c r="H274" s="1" t="s">
        <v>411</v>
      </c>
      <c r="I274" s="1">
        <v>15</v>
      </c>
      <c r="J274" s="1">
        <v>9.9453551912568301</v>
      </c>
      <c r="K274" s="1" t="s">
        <v>18</v>
      </c>
      <c r="L274">
        <v>52.39</v>
      </c>
      <c r="M274">
        <v>35</v>
      </c>
      <c r="N274">
        <v>13.6</v>
      </c>
      <c r="O274">
        <v>7019</v>
      </c>
    </row>
    <row r="275" spans="1:15" x14ac:dyDescent="0.25">
      <c r="A275" s="1" t="s">
        <v>412</v>
      </c>
      <c r="B275" s="1">
        <v>22.093312000000001</v>
      </c>
      <c r="C275" s="1">
        <v>50.754733000000002</v>
      </c>
      <c r="D275" s="1" t="s">
        <v>413</v>
      </c>
      <c r="E275" s="1" t="s">
        <v>13</v>
      </c>
      <c r="F275" s="1" t="s">
        <v>388</v>
      </c>
      <c r="G275" s="1" t="s">
        <v>400</v>
      </c>
      <c r="H275" s="1" t="s">
        <v>402</v>
      </c>
      <c r="I275" s="1">
        <v>15</v>
      </c>
      <c r="J275" s="1">
        <v>9.9453551912568301</v>
      </c>
      <c r="K275" s="1" t="s">
        <v>16</v>
      </c>
      <c r="L275">
        <v>52.39</v>
      </c>
      <c r="M275">
        <v>35</v>
      </c>
      <c r="N275">
        <v>13.6</v>
      </c>
      <c r="O275">
        <v>7019</v>
      </c>
    </row>
    <row r="276" spans="1:15" x14ac:dyDescent="0.25">
      <c r="A276" s="1" t="s">
        <v>414</v>
      </c>
      <c r="B276" s="1">
        <v>21.9726</v>
      </c>
      <c r="C276" s="1">
        <v>50.617800000000003</v>
      </c>
      <c r="D276" s="1" t="s">
        <v>408</v>
      </c>
      <c r="E276" s="1" t="s">
        <v>13</v>
      </c>
      <c r="F276" s="1" t="s">
        <v>388</v>
      </c>
      <c r="G276" s="1" t="s">
        <v>400</v>
      </c>
      <c r="H276" s="1" t="s">
        <v>409</v>
      </c>
      <c r="I276" s="1">
        <v>5</v>
      </c>
      <c r="J276" s="1">
        <v>11.281420765027322</v>
      </c>
      <c r="K276" s="1" t="s">
        <v>18</v>
      </c>
      <c r="L276">
        <v>52.39</v>
      </c>
      <c r="M276">
        <v>35</v>
      </c>
      <c r="N276">
        <v>13.6</v>
      </c>
      <c r="O276">
        <v>7019</v>
      </c>
    </row>
    <row r="277" spans="1:15" x14ac:dyDescent="0.25">
      <c r="A277" s="1" t="s">
        <v>415</v>
      </c>
      <c r="B277" s="1">
        <v>22.027000000000001</v>
      </c>
      <c r="C277" s="1">
        <v>50.617199999999997</v>
      </c>
      <c r="D277" s="1" t="s">
        <v>387</v>
      </c>
      <c r="E277" s="1" t="s">
        <v>13</v>
      </c>
      <c r="F277" s="1" t="s">
        <v>388</v>
      </c>
      <c r="G277" s="1" t="s">
        <v>400</v>
      </c>
      <c r="H277" s="1" t="s">
        <v>409</v>
      </c>
      <c r="I277" s="1">
        <v>5</v>
      </c>
      <c r="J277" s="1">
        <v>9.9453551912568301</v>
      </c>
      <c r="K277" s="1" t="s">
        <v>18</v>
      </c>
      <c r="L277">
        <v>52.39</v>
      </c>
      <c r="M277">
        <v>35</v>
      </c>
      <c r="N277">
        <v>13.6</v>
      </c>
      <c r="O277">
        <v>7019</v>
      </c>
    </row>
  </sheetData>
  <sortState xmlns:xlrd2="http://schemas.microsoft.com/office/spreadsheetml/2017/richdata2" ref="A2:M283">
    <sortCondition ref="F2:F283"/>
  </sortState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B3126-4FD3-4E80-97D0-23D860B23C59}">
  <dimension ref="A1:F23"/>
  <sheetViews>
    <sheetView workbookViewId="0">
      <selection activeCell="D8" sqref="D8"/>
    </sheetView>
  </sheetViews>
  <sheetFormatPr defaultRowHeight="15" x14ac:dyDescent="0.25"/>
  <cols>
    <col min="2" max="2" width="25.5703125" customWidth="1"/>
    <col min="3" max="3" width="27.42578125" customWidth="1"/>
    <col min="4" max="4" width="20.140625" customWidth="1"/>
    <col min="5" max="5" width="26" bestFit="1" customWidth="1"/>
    <col min="14" max="14" width="15.140625" customWidth="1"/>
    <col min="18" max="18" width="24.5703125" customWidth="1"/>
  </cols>
  <sheetData>
    <row r="1" spans="1:6" x14ac:dyDescent="0.25">
      <c r="A1" t="s">
        <v>416</v>
      </c>
      <c r="B1" t="s">
        <v>417</v>
      </c>
      <c r="C1" t="s">
        <v>418</v>
      </c>
      <c r="D1" t="s">
        <v>419</v>
      </c>
      <c r="E1" t="s">
        <v>420</v>
      </c>
      <c r="F1" t="s">
        <v>421</v>
      </c>
    </row>
    <row r="2" spans="1:6" x14ac:dyDescent="0.25">
      <c r="A2">
        <v>1205000</v>
      </c>
      <c r="B2" t="s">
        <v>259</v>
      </c>
      <c r="C2">
        <v>104.59</v>
      </c>
      <c r="D2">
        <v>26.7</v>
      </c>
      <c r="E2">
        <v>6.3</v>
      </c>
      <c r="F2">
        <v>14801</v>
      </c>
    </row>
    <row r="3" spans="1:6" x14ac:dyDescent="0.25">
      <c r="A3">
        <v>1206000</v>
      </c>
      <c r="B3" t="s">
        <v>161</v>
      </c>
      <c r="C3">
        <v>304.27999999999997</v>
      </c>
      <c r="D3">
        <v>54.8</v>
      </c>
      <c r="E3">
        <v>4.3</v>
      </c>
      <c r="F3">
        <v>64249</v>
      </c>
    </row>
    <row r="4" spans="1:6" x14ac:dyDescent="0.25">
      <c r="A4">
        <v>1210000</v>
      </c>
      <c r="B4" t="s">
        <v>276</v>
      </c>
      <c r="C4">
        <v>214.88</v>
      </c>
      <c r="D4">
        <v>26.3</v>
      </c>
      <c r="E4">
        <v>9.1999999999999993</v>
      </c>
      <c r="F4">
        <v>29135</v>
      </c>
    </row>
    <row r="5" spans="1:6" x14ac:dyDescent="0.25">
      <c r="A5">
        <v>1219000</v>
      </c>
      <c r="B5" t="s">
        <v>243</v>
      </c>
      <c r="C5">
        <v>145.28</v>
      </c>
      <c r="D5">
        <v>56.9</v>
      </c>
      <c r="E5">
        <v>3.5</v>
      </c>
      <c r="F5">
        <v>30588</v>
      </c>
    </row>
    <row r="6" spans="1:6" x14ac:dyDescent="0.25">
      <c r="A6">
        <v>1261000</v>
      </c>
      <c r="B6" t="s">
        <v>423</v>
      </c>
      <c r="C6">
        <v>809.17</v>
      </c>
      <c r="D6">
        <v>125.3</v>
      </c>
      <c r="E6">
        <v>2</v>
      </c>
      <c r="F6">
        <v>302636</v>
      </c>
    </row>
    <row r="7" spans="1:6" x14ac:dyDescent="0.25">
      <c r="A7">
        <v>1262000</v>
      </c>
      <c r="B7" t="s">
        <v>424</v>
      </c>
      <c r="C7">
        <v>79.819999999999993</v>
      </c>
      <c r="D7">
        <v>59.4</v>
      </c>
      <c r="E7">
        <v>3.5</v>
      </c>
      <c r="F7">
        <v>18723</v>
      </c>
    </row>
    <row r="8" spans="1:6" x14ac:dyDescent="0.25">
      <c r="A8">
        <v>1801000</v>
      </c>
      <c r="B8" t="s">
        <v>15</v>
      </c>
      <c r="C8">
        <v>20.420000000000002</v>
      </c>
      <c r="D8">
        <v>35.5</v>
      </c>
      <c r="E8">
        <v>16.100000000000001</v>
      </c>
      <c r="F8">
        <v>3125</v>
      </c>
    </row>
    <row r="9" spans="1:6" x14ac:dyDescent="0.25">
      <c r="A9">
        <v>1812000</v>
      </c>
      <c r="B9" t="s">
        <v>389</v>
      </c>
      <c r="C9">
        <v>63.19</v>
      </c>
      <c r="D9">
        <v>22.9</v>
      </c>
      <c r="E9">
        <v>16.3</v>
      </c>
      <c r="F9">
        <v>9167</v>
      </c>
    </row>
    <row r="10" spans="1:6" x14ac:dyDescent="0.25">
      <c r="A10">
        <v>1817000</v>
      </c>
      <c r="B10" t="s">
        <v>27</v>
      </c>
      <c r="C10">
        <v>89</v>
      </c>
      <c r="D10">
        <v>30.5</v>
      </c>
      <c r="E10">
        <v>8.6999999999999993</v>
      </c>
      <c r="F10">
        <v>15258</v>
      </c>
    </row>
    <row r="11" spans="1:6" x14ac:dyDescent="0.25">
      <c r="A11">
        <v>1818000</v>
      </c>
      <c r="B11" t="s">
        <v>400</v>
      </c>
      <c r="C11">
        <v>100.03</v>
      </c>
      <c r="D11">
        <v>33.299999999999997</v>
      </c>
      <c r="E11">
        <v>5.3</v>
      </c>
      <c r="F11">
        <v>18730</v>
      </c>
    </row>
    <row r="12" spans="1:6" x14ac:dyDescent="0.25">
      <c r="A12">
        <v>1821000</v>
      </c>
      <c r="B12" t="s">
        <v>20</v>
      </c>
      <c r="C12">
        <v>25.22</v>
      </c>
      <c r="D12">
        <v>36.799999999999997</v>
      </c>
      <c r="E12">
        <v>19.2</v>
      </c>
      <c r="F12">
        <v>3992</v>
      </c>
    </row>
    <row r="13" spans="1:6" x14ac:dyDescent="0.25">
      <c r="A13">
        <v>2202000</v>
      </c>
      <c r="B13" t="s">
        <v>57</v>
      </c>
      <c r="C13">
        <v>95.54</v>
      </c>
      <c r="D13">
        <v>35</v>
      </c>
      <c r="E13">
        <v>8.6</v>
      </c>
      <c r="F13">
        <v>12691</v>
      </c>
    </row>
    <row r="14" spans="1:6" x14ac:dyDescent="0.25">
      <c r="A14">
        <v>2203000</v>
      </c>
      <c r="B14" t="s">
        <v>81</v>
      </c>
      <c r="C14">
        <v>52.75</v>
      </c>
      <c r="D14">
        <v>36.799999999999997</v>
      </c>
      <c r="E14">
        <v>9.9</v>
      </c>
      <c r="F14">
        <v>6764</v>
      </c>
    </row>
    <row r="15" spans="1:6" x14ac:dyDescent="0.25">
      <c r="A15">
        <v>2204000</v>
      </c>
      <c r="B15" t="s">
        <v>127</v>
      </c>
      <c r="C15">
        <v>133.49</v>
      </c>
      <c r="D15">
        <v>59.5</v>
      </c>
      <c r="E15">
        <v>3.7</v>
      </c>
      <c r="F15">
        <v>28572</v>
      </c>
    </row>
    <row r="16" spans="1:6" x14ac:dyDescent="0.25">
      <c r="A16">
        <v>2205000</v>
      </c>
      <c r="B16" t="s">
        <v>136</v>
      </c>
      <c r="C16">
        <v>155.38</v>
      </c>
      <c r="D16">
        <v>42.6</v>
      </c>
      <c r="E16">
        <v>2.4</v>
      </c>
      <c r="F16">
        <v>24575</v>
      </c>
    </row>
    <row r="17" spans="1:6" x14ac:dyDescent="0.25">
      <c r="A17">
        <v>2212000</v>
      </c>
      <c r="B17" t="s">
        <v>362</v>
      </c>
      <c r="C17">
        <v>95.89</v>
      </c>
      <c r="D17">
        <v>35.4</v>
      </c>
      <c r="E17">
        <v>7.6</v>
      </c>
      <c r="F17">
        <v>14118</v>
      </c>
    </row>
    <row r="18" spans="1:6" x14ac:dyDescent="0.25">
      <c r="A18">
        <v>2261000</v>
      </c>
      <c r="B18" t="s">
        <v>425</v>
      </c>
      <c r="C18">
        <v>488.65</v>
      </c>
      <c r="D18">
        <v>110.4</v>
      </c>
      <c r="E18">
        <v>2.5</v>
      </c>
      <c r="F18">
        <v>160159</v>
      </c>
    </row>
    <row r="19" spans="1:6" x14ac:dyDescent="0.25">
      <c r="A19">
        <v>2263000</v>
      </c>
      <c r="B19" t="s">
        <v>426</v>
      </c>
      <c r="C19">
        <v>84.77</v>
      </c>
      <c r="D19">
        <v>65.7</v>
      </c>
      <c r="E19">
        <v>4.2</v>
      </c>
      <c r="F19">
        <v>19627</v>
      </c>
    </row>
    <row r="20" spans="1:6" x14ac:dyDescent="0.25">
      <c r="A20">
        <v>3203000</v>
      </c>
      <c r="B20" t="s">
        <v>311</v>
      </c>
      <c r="C20">
        <v>53</v>
      </c>
      <c r="D20">
        <v>40.799999999999997</v>
      </c>
      <c r="E20">
        <v>11.4</v>
      </c>
      <c r="F20">
        <v>7043</v>
      </c>
    </row>
    <row r="21" spans="1:6" x14ac:dyDescent="0.25">
      <c r="A21">
        <v>3213000</v>
      </c>
      <c r="B21" t="s">
        <v>346</v>
      </c>
      <c r="C21">
        <v>52.39</v>
      </c>
      <c r="D21">
        <v>35</v>
      </c>
      <c r="E21">
        <v>13.6</v>
      </c>
      <c r="F21">
        <v>7019</v>
      </c>
    </row>
    <row r="22" spans="1:6" x14ac:dyDescent="0.25">
      <c r="A22">
        <v>3216000</v>
      </c>
      <c r="B22" t="s">
        <v>328</v>
      </c>
      <c r="C22">
        <v>42.75</v>
      </c>
      <c r="D22">
        <v>42</v>
      </c>
      <c r="E22">
        <v>13.4</v>
      </c>
      <c r="F22">
        <v>5547</v>
      </c>
    </row>
    <row r="23" spans="1:6" x14ac:dyDescent="0.25">
      <c r="A23">
        <v>3217000</v>
      </c>
      <c r="B23" t="s">
        <v>334</v>
      </c>
      <c r="C23">
        <v>49.38</v>
      </c>
      <c r="D23">
        <v>37.200000000000003</v>
      </c>
      <c r="E23">
        <v>9.6</v>
      </c>
      <c r="F23">
        <v>7701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e63bc9-576b-4431-b91c-5c054d54b4a4">
      <Terms xmlns="http://schemas.microsoft.com/office/infopath/2007/PartnerControls"/>
    </lcf76f155ced4ddcb4097134ff3c332f>
    <TaxCatchAll xmlns="9384cfb9-d8bb-40ab-8d30-8e36c632b29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E715EA50906314BAA94C6DAF2DB91CC" ma:contentTypeVersion="10" ma:contentTypeDescription="Utwórz nowy dokument." ma:contentTypeScope="" ma:versionID="477026ee8ed446709c79011d515d75fd">
  <xsd:schema xmlns:xsd="http://www.w3.org/2001/XMLSchema" xmlns:xs="http://www.w3.org/2001/XMLSchema" xmlns:p="http://schemas.microsoft.com/office/2006/metadata/properties" xmlns:ns2="33e63bc9-576b-4431-b91c-5c054d54b4a4" xmlns:ns3="9384cfb9-d8bb-40ab-8d30-8e36c632b29b" targetNamespace="http://schemas.microsoft.com/office/2006/metadata/properties" ma:root="true" ma:fieldsID="1d40d5097be2c5778dbed6086a8d17f1" ns2:_="" ns3:_="">
    <xsd:import namespace="33e63bc9-576b-4431-b91c-5c054d54b4a4"/>
    <xsd:import namespace="9384cfb9-d8bb-40ab-8d30-8e36c632b2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e63bc9-576b-4431-b91c-5c054d54b4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8cf9ebe3-3b60-40ff-bbbd-595d8a739f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84cfb9-d8bb-40ab-8d30-8e36c632b29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f55a290-a2c4-4c5c-87e7-e2835f3ed1be}" ma:internalName="TaxCatchAll" ma:showField="CatchAllData" ma:web="9384cfb9-d8bb-40ab-8d30-8e36c632b2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F1C2D2-4B5A-4A21-B2AC-31806A7E0B90}">
  <ds:schemaRefs>
    <ds:schemaRef ds:uri="http://schemas.microsoft.com/office/2006/metadata/properties"/>
    <ds:schemaRef ds:uri="http://schemas.microsoft.com/office/infopath/2007/PartnerControls"/>
    <ds:schemaRef ds:uri="33e63bc9-576b-4431-b91c-5c054d54b4a4"/>
    <ds:schemaRef ds:uri="9384cfb9-d8bb-40ab-8d30-8e36c632b29b"/>
  </ds:schemaRefs>
</ds:datastoreItem>
</file>

<file path=customXml/itemProps2.xml><?xml version="1.0" encoding="utf-8"?>
<ds:datastoreItem xmlns:ds="http://schemas.openxmlformats.org/officeDocument/2006/customXml" ds:itemID="{E0F549F2-3326-49B2-8508-784952EC03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9FA397-DAB4-456C-9D24-B673C51571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e63bc9-576b-4431-b91c-5c054d54b4a4"/>
    <ds:schemaRef ds:uri="9384cfb9-d8bb-40ab-8d30-8e36c632b2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2024_bdl</vt:lpstr>
      <vt:lpstr>Arkusz2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Parol</dc:creator>
  <cp:keywords/>
  <dc:description/>
  <cp:lastModifiedBy>Laura Uchwat</cp:lastModifiedBy>
  <cp:revision/>
  <dcterms:created xsi:type="dcterms:W3CDTF">2025-07-26T18:11:27Z</dcterms:created>
  <dcterms:modified xsi:type="dcterms:W3CDTF">2025-12-14T18:03:07Z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0x010100CE715EA50906314BAA94C6DAF2DB91CC</vt:lpwstr>
  </property>
  <property fmtid="{D5CDD505-2E9C-101B-9397-08002B2CF9AE}" pid="3" name="MediaServiceImageTags">
    <vt:lpwstr/>
  </property>
</Properties>
</file>